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54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Sheet4" sheetId="4" state="visible" r:id="rId4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_-* #,##0.0_-;\-* #,##0.0_-;_-* &quot;-&quot;??_-;_-@_-"/>
    <numFmt numFmtId="166" formatCode="yyyy/mm"/>
    <numFmt numFmtId="167" formatCode="[$-404]aaa;@"/>
    <numFmt numFmtId="168" formatCode="0.0_ "/>
  </numFmts>
  <fonts count="61">
    <font>
      <name val="宋体"/>
      <charset val="134"/>
      <sz val="12"/>
    </font>
    <font>
      <name val="新細明體"/>
      <charset val="134"/>
      <sz val="9"/>
    </font>
    <font>
      <name val="新細明體"/>
      <charset val="134"/>
      <sz val="10"/>
    </font>
    <font>
      <name val="新細明體"/>
      <charset val="134"/>
      <color indexed="8"/>
      <sz val="10"/>
    </font>
    <font>
      <name val="微軟正黑體"/>
      <charset val="134"/>
      <color indexed="8"/>
      <sz val="10"/>
    </font>
    <font>
      <name val="宋体"/>
      <charset val="134"/>
      <sz val="8"/>
    </font>
    <font>
      <name val="宋体"/>
      <charset val="134"/>
      <sz val="8"/>
      <scheme val="minor"/>
    </font>
    <font>
      <name val="宋体"/>
      <charset val="134"/>
      <color indexed="8"/>
      <sz val="8"/>
      <scheme val="minor"/>
    </font>
    <font>
      <name val="細明體"/>
      <charset val="134"/>
      <sz val="12"/>
    </font>
    <font>
      <name val="微軟正黑體"/>
      <charset val="134"/>
      <color rgb="FF000000"/>
      <sz val="12"/>
    </font>
    <font>
      <name val="新細明體"/>
      <charset val="134"/>
      <sz val="12"/>
    </font>
    <font>
      <name val="宋体"/>
      <charset val="134"/>
      <color rgb="FF000000"/>
      <sz val="11"/>
    </font>
    <font>
      <name val="新細明體"/>
      <charset val="134"/>
      <sz val="11"/>
    </font>
    <font>
      <name val="宋体"/>
      <charset val="134"/>
      <color indexed="8"/>
      <sz val="12"/>
    </font>
    <font>
      <name val="宋体"/>
      <charset val="134"/>
      <color rgb="FF000000"/>
      <sz val="12"/>
    </font>
    <font>
      <name val="新細明體"/>
      <charset val="134"/>
      <color rgb="FFFF0000"/>
      <sz val="10"/>
    </font>
    <font>
      <name val="新細明體"/>
      <charset val="134"/>
      <color indexed="8"/>
      <sz val="12"/>
    </font>
    <font>
      <name val="宋体"/>
      <charset val="134"/>
      <sz val="11"/>
    </font>
    <font>
      <name val="新細明體"/>
      <charset val="134"/>
      <color theme="1"/>
      <sz val="10"/>
    </font>
    <font>
      <name val="微軟正黑體"/>
      <charset val="134"/>
      <color indexed="8"/>
      <sz val="12"/>
    </font>
    <font>
      <name val="微软雅黑"/>
      <charset val="134"/>
      <color rgb="FFFF0000"/>
      <sz val="12"/>
    </font>
    <font>
      <name val="宋体"/>
      <charset val="134"/>
      <sz val="9"/>
    </font>
    <font>
      <name val="宋体"/>
      <charset val="134"/>
      <color indexed="8"/>
      <sz val="10"/>
    </font>
    <font>
      <name val="細明體"/>
      <charset val="134"/>
      <color theme="1"/>
      <sz val="12"/>
    </font>
    <font>
      <name val="細明體"/>
      <charset val="134"/>
      <color rgb="FFFFFFFF"/>
      <sz val="12"/>
    </font>
    <font>
      <name val="細明體"/>
      <charset val="134"/>
      <sz val="10"/>
    </font>
    <font>
      <name val="宋体"/>
      <charset val="134"/>
      <sz val="10"/>
    </font>
    <font>
      <name val="細明體"/>
      <charset val="134"/>
      <sz val="16"/>
    </font>
    <font>
      <name val="新細明體"/>
      <charset val="134"/>
      <sz val="16"/>
    </font>
    <font>
      <name val="新細明體"/>
      <charset val="134"/>
      <color theme="1"/>
      <sz val="11"/>
    </font>
    <font>
      <name val="新細明體"/>
      <charset val="134"/>
      <color theme="9" tint="-0.499984740745262"/>
      <sz val="10"/>
    </font>
    <font>
      <name val="宋体"/>
      <charset val="134"/>
      <color theme="1"/>
      <sz val="10"/>
    </font>
    <font>
      <name val="新細明體"/>
      <charset val="134"/>
      <color rgb="FF000000"/>
      <sz val="10"/>
    </font>
    <font>
      <name val="新細明體"/>
      <charset val="134"/>
      <color rgb="FFFF0000"/>
      <sz val="9"/>
    </font>
    <font>
      <name val="新細明體"/>
      <charset val="134"/>
      <color theme="1"/>
      <sz val="9"/>
    </font>
    <font>
      <name val="華康娃娃體(P)"/>
      <charset val="134"/>
      <color theme="1"/>
      <sz val="14"/>
    </font>
    <font>
      <name val="新細明體"/>
      <charset val="134"/>
      <b val="1"/>
      <color theme="1"/>
      <sz val="16"/>
    </font>
    <font>
      <name val="新細明體"/>
      <charset val="134"/>
      <b val="1"/>
      <color theme="1"/>
      <sz val="14"/>
    </font>
    <font>
      <name val="新細明體"/>
      <charset val="134"/>
      <color theme="1"/>
      <sz val="14"/>
    </font>
    <font>
      <name val="新細明體"/>
      <charset val="134"/>
      <b val="1"/>
      <color theme="1"/>
      <sz val="12"/>
    </font>
    <font>
      <name val="宋体"/>
      <charset val="134"/>
      <color theme="1"/>
      <sz val="9"/>
    </font>
    <font>
      <name val="宋体"/>
      <charset val="134"/>
      <color theme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</fonts>
  <fills count="46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50">
    <xf numFmtId="0" fontId="0" fillId="0" borderId="0" applyAlignment="1">
      <alignment vertical="center"/>
    </xf>
    <xf numFmtId="42" fontId="41" fillId="0" borderId="0" applyAlignment="1">
      <alignment vertical="center"/>
    </xf>
    <xf numFmtId="0" fontId="42" fillId="15" borderId="0" applyAlignment="1">
      <alignment vertical="center"/>
    </xf>
    <xf numFmtId="0" fontId="43" fillId="16" borderId="36" applyAlignment="1">
      <alignment vertical="center"/>
    </xf>
    <xf numFmtId="44" fontId="41" fillId="0" borderId="0" applyAlignment="1">
      <alignment vertical="center"/>
    </xf>
    <xf numFmtId="41" fontId="41" fillId="0" borderId="0" applyAlignment="1">
      <alignment vertical="center"/>
    </xf>
    <xf numFmtId="0" fontId="42" fillId="17" borderId="0" applyAlignment="1">
      <alignment vertical="center"/>
    </xf>
    <xf numFmtId="0" fontId="44" fillId="18" borderId="0" applyAlignment="1">
      <alignment vertical="center"/>
    </xf>
    <xf numFmtId="43" fontId="0" fillId="0" borderId="0" applyAlignment="1">
      <alignment vertical="center"/>
    </xf>
    <xf numFmtId="0" fontId="45" fillId="19" borderId="0" applyAlignment="1">
      <alignment vertical="center"/>
    </xf>
    <xf numFmtId="0" fontId="46" fillId="0" borderId="0" applyAlignment="1">
      <alignment vertical="center"/>
    </xf>
    <xf numFmtId="9" fontId="41" fillId="0" borderId="0" applyAlignment="1">
      <alignment vertical="center"/>
    </xf>
    <xf numFmtId="0" fontId="47" fillId="0" borderId="0" applyAlignment="1">
      <alignment vertical="center"/>
    </xf>
    <xf numFmtId="0" fontId="41" fillId="20" borderId="37" applyAlignment="1">
      <alignment vertical="center"/>
    </xf>
    <xf numFmtId="0" fontId="45" fillId="21" borderId="0" applyAlignment="1">
      <alignment vertical="center"/>
    </xf>
    <xf numFmtId="0" fontId="48" fillId="0" borderId="0" applyAlignment="1">
      <alignment vertical="center"/>
    </xf>
    <xf numFmtId="0" fontId="49" fillId="0" borderId="0" applyAlignment="1">
      <alignment vertical="center"/>
    </xf>
    <xf numFmtId="0" fontId="50" fillId="0" borderId="0" applyAlignment="1">
      <alignment vertical="center"/>
    </xf>
    <xf numFmtId="0" fontId="51" fillId="0" borderId="0" applyAlignment="1">
      <alignment vertical="center"/>
    </xf>
    <xf numFmtId="0" fontId="52" fillId="0" borderId="38" applyAlignment="1">
      <alignment vertical="center"/>
    </xf>
    <xf numFmtId="0" fontId="53" fillId="0" borderId="38" applyAlignment="1">
      <alignment vertical="center"/>
    </xf>
    <xf numFmtId="0" fontId="45" fillId="22" borderId="0" applyAlignment="1">
      <alignment vertical="center"/>
    </xf>
    <xf numFmtId="0" fontId="48" fillId="0" borderId="39" applyAlignment="1">
      <alignment vertical="center"/>
    </xf>
    <xf numFmtId="0" fontId="45" fillId="23" borderId="0" applyAlignment="1">
      <alignment vertical="center"/>
    </xf>
    <xf numFmtId="0" fontId="54" fillId="24" borderId="40" applyAlignment="1">
      <alignment vertical="center"/>
    </xf>
    <xf numFmtId="0" fontId="55" fillId="24" borderId="36" applyAlignment="1">
      <alignment vertical="center"/>
    </xf>
    <xf numFmtId="0" fontId="56" fillId="25" borderId="41" applyAlignment="1">
      <alignment vertical="center"/>
    </xf>
    <xf numFmtId="0" fontId="42" fillId="26" borderId="0" applyAlignment="1">
      <alignment vertical="center"/>
    </xf>
    <xf numFmtId="0" fontId="45" fillId="27" borderId="0" applyAlignment="1">
      <alignment vertical="center"/>
    </xf>
    <xf numFmtId="0" fontId="57" fillId="0" borderId="42" applyAlignment="1">
      <alignment vertical="center"/>
    </xf>
    <xf numFmtId="0" fontId="10" fillId="0" borderId="0" applyProtection="1">
      <protection locked="0" hidden="0"/>
    </xf>
    <xf numFmtId="0" fontId="58" fillId="0" borderId="43" applyAlignment="1">
      <alignment vertical="center"/>
    </xf>
    <xf numFmtId="0" fontId="59" fillId="28" borderId="0" applyAlignment="1">
      <alignment vertical="center"/>
    </xf>
    <xf numFmtId="0" fontId="60" fillId="29" borderId="0" applyAlignment="1">
      <alignment vertical="center"/>
    </xf>
    <xf numFmtId="0" fontId="42" fillId="30" borderId="0" applyAlignment="1">
      <alignment vertical="center"/>
    </xf>
    <xf numFmtId="0" fontId="45" fillId="31" borderId="0" applyAlignment="1">
      <alignment vertical="center"/>
    </xf>
    <xf numFmtId="0" fontId="42" fillId="32" borderId="0" applyAlignment="1">
      <alignment vertical="center"/>
    </xf>
    <xf numFmtId="0" fontId="42" fillId="33" borderId="0" applyAlignment="1">
      <alignment vertical="center"/>
    </xf>
    <xf numFmtId="0" fontId="42" fillId="34" borderId="0" applyAlignment="1">
      <alignment vertical="center"/>
    </xf>
    <xf numFmtId="0" fontId="42" fillId="35" borderId="0" applyAlignment="1">
      <alignment vertical="center"/>
    </xf>
    <xf numFmtId="0" fontId="45" fillId="36" borderId="0" applyAlignment="1">
      <alignment vertical="center"/>
    </xf>
    <xf numFmtId="0" fontId="45" fillId="37" borderId="0" applyAlignment="1">
      <alignment vertical="center"/>
    </xf>
    <xf numFmtId="0" fontId="42" fillId="38" borderId="0" applyAlignment="1">
      <alignment vertical="center"/>
    </xf>
    <xf numFmtId="0" fontId="42" fillId="39" borderId="0" applyAlignment="1">
      <alignment vertical="center"/>
    </xf>
    <xf numFmtId="0" fontId="45" fillId="40" borderId="0" applyAlignment="1">
      <alignment vertical="center"/>
    </xf>
    <xf numFmtId="0" fontId="42" fillId="41" borderId="0" applyAlignment="1">
      <alignment vertical="center"/>
    </xf>
    <xf numFmtId="0" fontId="45" fillId="42" borderId="0" applyAlignment="1">
      <alignment vertical="center"/>
    </xf>
    <xf numFmtId="0" fontId="45" fillId="43" borderId="0" applyAlignment="1">
      <alignment vertical="center"/>
    </xf>
    <xf numFmtId="0" fontId="42" fillId="44" borderId="0" applyAlignment="1">
      <alignment vertical="center"/>
    </xf>
    <xf numFmtId="0" fontId="45" fillId="45" borderId="0" applyAlignment="1">
      <alignment vertical="center"/>
    </xf>
  </cellStyleXfs>
  <cellXfs count="24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30">
      <alignment vertical="center"/>
    </xf>
    <xf numFmtId="0" fontId="1" fillId="0" borderId="0" applyAlignment="1" pivotButton="0" quotePrefix="0" xfId="30">
      <alignment horizontal="center" vertical="center"/>
    </xf>
    <xf numFmtId="0" fontId="1" fillId="0" borderId="0" applyAlignment="1" pivotButton="0" quotePrefix="0" xfId="30">
      <alignment vertical="center"/>
    </xf>
    <xf numFmtId="164" fontId="1" fillId="0" borderId="0" applyAlignment="1" pivotButton="0" quotePrefix="0" xfId="8">
      <alignment vertical="center"/>
    </xf>
    <xf numFmtId="165" fontId="1" fillId="0" borderId="0" applyAlignment="1" pivotButton="0" quotePrefix="0" xfId="8">
      <alignment vertical="center"/>
    </xf>
    <xf numFmtId="0" fontId="1" fillId="0" borderId="1" applyAlignment="1" pivotButton="0" quotePrefix="0" xfId="30">
      <alignment vertical="center"/>
    </xf>
    <xf numFmtId="0" fontId="1" fillId="0" borderId="2" applyAlignment="1" pivotButton="0" quotePrefix="0" xfId="30">
      <alignment horizontal="center" vertical="center"/>
    </xf>
    <xf numFmtId="0" fontId="1" fillId="0" borderId="3" applyAlignment="1" pivotButton="0" quotePrefix="0" xfId="30">
      <alignment vertical="center"/>
    </xf>
    <xf numFmtId="166" fontId="1" fillId="2" borderId="4" applyAlignment="1" pivotButton="0" quotePrefix="0" xfId="30">
      <alignment horizontal="center" vertical="center"/>
    </xf>
    <xf numFmtId="0" fontId="2" fillId="3" borderId="5" applyAlignment="1" pivotButton="0" quotePrefix="0" xfId="30">
      <alignment horizontal="center" vertical="center"/>
    </xf>
    <xf numFmtId="0" fontId="2" fillId="4" borderId="5" applyAlignment="1" pivotButton="0" quotePrefix="0" xfId="30">
      <alignment horizontal="center" vertical="center"/>
    </xf>
    <xf numFmtId="0" fontId="3" fillId="4" borderId="5" applyAlignment="1" pivotButton="0" quotePrefix="0" xfId="30">
      <alignment horizontal="center" vertical="center"/>
    </xf>
    <xf numFmtId="0" fontId="1" fillId="0" borderId="6" applyAlignment="1" pivotButton="0" quotePrefix="0" xfId="30">
      <alignment vertical="center"/>
    </xf>
    <xf numFmtId="0" fontId="1" fillId="0" borderId="7" applyAlignment="1" pivotButton="0" quotePrefix="0" xfId="30">
      <alignment horizontal="center" vertical="center"/>
    </xf>
    <xf numFmtId="0" fontId="4" fillId="5" borderId="3" applyAlignment="1" pivotButton="0" quotePrefix="0" xfId="30">
      <alignment vertical="center" shrinkToFit="1"/>
    </xf>
    <xf numFmtId="0" fontId="1" fillId="0" borderId="8" applyAlignment="1" pivotButton="0" quotePrefix="0" xfId="30">
      <alignment horizontal="center" vertical="center"/>
    </xf>
    <xf numFmtId="167" fontId="5" fillId="4" borderId="9" applyAlignment="1" pivotButton="0" quotePrefix="0" xfId="30">
      <alignment horizontal="center" vertical="center"/>
    </xf>
    <xf numFmtId="167" fontId="6" fillId="4" borderId="9" applyAlignment="1" pivotButton="0" quotePrefix="0" xfId="30">
      <alignment horizontal="center" vertical="center"/>
    </xf>
    <xf numFmtId="167" fontId="7" fillId="4" borderId="10" applyAlignment="1" pivotButton="0" quotePrefix="0" xfId="30">
      <alignment horizontal="center" vertical="center"/>
    </xf>
    <xf numFmtId="0" fontId="1" fillId="0" borderId="11" applyAlignment="1" pivotButton="0" quotePrefix="0" xfId="30">
      <alignment horizontal="center" vertical="center"/>
    </xf>
    <xf numFmtId="0" fontId="8" fillId="6" borderId="12" applyAlignment="1" pivotButton="0" quotePrefix="0" xfId="30">
      <alignment horizontal="center" vertical="center"/>
    </xf>
    <xf numFmtId="0" fontId="9" fillId="7" borderId="3" applyAlignment="1" pivotButton="0" quotePrefix="0" xfId="30">
      <alignment horizontal="center" vertical="center" shrinkToFit="1"/>
    </xf>
    <xf numFmtId="0" fontId="1" fillId="6" borderId="13" applyAlignment="1" pivotButton="0" quotePrefix="0" xfId="30">
      <alignment horizontal="center" vertical="center"/>
    </xf>
    <xf numFmtId="0" fontId="2" fillId="6" borderId="3" applyAlignment="1" pivotButton="0" quotePrefix="0" xfId="30">
      <alignment horizontal="center" vertical="center" shrinkToFit="1"/>
    </xf>
    <xf numFmtId="0" fontId="2" fillId="7" borderId="3" applyAlignment="1" pivotButton="0" quotePrefix="0" xfId="30">
      <alignment horizontal="center" vertical="center" shrinkToFit="1"/>
    </xf>
    <xf numFmtId="0" fontId="1" fillId="0" borderId="14" applyAlignment="1" pivotButton="0" quotePrefix="0" xfId="30">
      <alignment horizontal="center" vertical="center"/>
    </xf>
    <xf numFmtId="0" fontId="10" fillId="6" borderId="12" applyAlignment="1" pivotButton="0" quotePrefix="0" xfId="30">
      <alignment horizontal="center" vertical="center"/>
    </xf>
    <xf numFmtId="0" fontId="0" fillId="0" borderId="12" applyAlignment="1" pivotButton="0" quotePrefix="0" xfId="30">
      <alignment horizontal="center" vertical="center"/>
    </xf>
    <xf numFmtId="0" fontId="11" fillId="8" borderId="3" applyAlignment="1" pivotButton="0" quotePrefix="0" xfId="30">
      <alignment horizontal="center" vertical="center" shrinkToFit="1"/>
    </xf>
    <xf numFmtId="0" fontId="1" fillId="0" borderId="15" applyAlignment="1" pivotButton="0" quotePrefix="0" xfId="30">
      <alignment horizontal="center" vertical="center"/>
    </xf>
    <xf numFmtId="0" fontId="12" fillId="0" borderId="3" applyAlignment="1" pivotButton="0" quotePrefix="0" xfId="30">
      <alignment horizontal="center" vertical="center"/>
    </xf>
    <xf numFmtId="0" fontId="10" fillId="0" borderId="12" applyAlignment="1" pivotButton="0" quotePrefix="0" xfId="30">
      <alignment horizontal="center" vertical="center"/>
    </xf>
    <xf numFmtId="0" fontId="13" fillId="8" borderId="3" applyAlignment="1" pivotButton="0" quotePrefix="0" xfId="30">
      <alignment horizontal="center" vertical="center" shrinkToFit="1"/>
    </xf>
    <xf numFmtId="0" fontId="2" fillId="0" borderId="3" applyAlignment="1" pivotButton="0" quotePrefix="0" xfId="30">
      <alignment horizontal="center" vertical="center"/>
    </xf>
    <xf numFmtId="0" fontId="2" fillId="0" borderId="13" applyAlignment="1" pivotButton="0" quotePrefix="0" xfId="30">
      <alignment horizontal="center" vertical="center"/>
    </xf>
    <xf numFmtId="0" fontId="14" fillId="6" borderId="12" applyAlignment="1" pivotButton="0" quotePrefix="0" xfId="30">
      <alignment horizontal="center" vertical="center"/>
    </xf>
    <xf numFmtId="0" fontId="11" fillId="7" borderId="3" applyAlignment="1" pivotButton="0" quotePrefix="0" xfId="30">
      <alignment horizontal="center" vertical="center" shrinkToFit="1"/>
    </xf>
    <xf numFmtId="0" fontId="15" fillId="6" borderId="10" applyAlignment="1" pivotButton="0" quotePrefix="0" xfId="30">
      <alignment vertical="center" shrinkToFit="1"/>
    </xf>
    <xf numFmtId="0" fontId="16" fillId="6" borderId="12" applyAlignment="1" pivotButton="0" quotePrefix="0" xfId="30">
      <alignment horizontal="center" vertical="center"/>
    </xf>
    <xf numFmtId="0" fontId="13" fillId="7" borderId="3" applyAlignment="1" pivotButton="0" quotePrefix="0" xfId="30">
      <alignment horizontal="center" vertical="center" shrinkToFit="1"/>
    </xf>
    <xf numFmtId="0" fontId="15" fillId="6" borderId="3" applyAlignment="1" pivotButton="0" quotePrefix="0" xfId="30">
      <alignment vertical="center" shrinkToFit="1"/>
    </xf>
    <xf numFmtId="0" fontId="14" fillId="9" borderId="12" applyAlignment="1" pivotButton="0" quotePrefix="0" xfId="30">
      <alignment horizontal="center" vertical="center"/>
    </xf>
    <xf numFmtId="0" fontId="17" fillId="0" borderId="3" applyAlignment="1" pivotButton="0" quotePrefix="0" xfId="30">
      <alignment horizontal="center" vertical="center"/>
    </xf>
    <xf numFmtId="0" fontId="1" fillId="0" borderId="13" applyAlignment="1" pivotButton="0" quotePrefix="0" xfId="30">
      <alignment horizontal="center" vertical="center"/>
    </xf>
    <xf numFmtId="0" fontId="16" fillId="9" borderId="12" applyAlignment="1" pivotButton="0" quotePrefix="0" xfId="30">
      <alignment horizontal="center" vertical="center"/>
    </xf>
    <xf numFmtId="0" fontId="1" fillId="0" borderId="3" applyAlignment="1" pivotButton="0" quotePrefix="0" xfId="30">
      <alignment horizontal="center" vertical="center"/>
    </xf>
    <xf numFmtId="0" fontId="17" fillId="7" borderId="3" applyAlignment="1" pivotButton="0" quotePrefix="0" xfId="30">
      <alignment horizontal="center" vertical="center"/>
    </xf>
    <xf numFmtId="0" fontId="1" fillId="7" borderId="0" applyAlignment="1" pivotButton="0" quotePrefix="0" xfId="30">
      <alignment horizontal="center" vertical="center"/>
    </xf>
    <xf numFmtId="0" fontId="1" fillId="7" borderId="3" applyAlignment="1" pivotButton="0" quotePrefix="0" xfId="30">
      <alignment horizontal="center" vertical="center"/>
    </xf>
    <xf numFmtId="0" fontId="0" fillId="0" borderId="12" applyAlignment="1" pivotButton="0" quotePrefix="0" xfId="30">
      <alignment horizontal="center" vertical="center"/>
    </xf>
    <xf numFmtId="0" fontId="13" fillId="8" borderId="10" applyAlignment="1" pivotButton="0" quotePrefix="0" xfId="30">
      <alignment horizontal="center" vertical="center" shrinkToFit="1"/>
    </xf>
    <xf numFmtId="0" fontId="2" fillId="9" borderId="3" applyAlignment="1" pivotButton="0" quotePrefix="0" xfId="30">
      <alignment horizontal="center" vertical="center" shrinkToFit="1"/>
    </xf>
    <xf numFmtId="0" fontId="10" fillId="0" borderId="12" applyAlignment="1" pivotButton="0" quotePrefix="0" xfId="30">
      <alignment horizontal="center" vertical="center"/>
    </xf>
    <xf numFmtId="0" fontId="13" fillId="8" borderId="16" applyAlignment="1" pivotButton="0" quotePrefix="0" xfId="30">
      <alignment horizontal="center" vertical="center" shrinkToFit="1"/>
    </xf>
    <xf numFmtId="0" fontId="0" fillId="7" borderId="12" applyAlignment="1" pivotButton="0" quotePrefix="0" xfId="30">
      <alignment horizontal="center" vertical="center"/>
    </xf>
    <xf numFmtId="0" fontId="2" fillId="10" borderId="3" applyAlignment="1" pivotButton="0" quotePrefix="0" xfId="30">
      <alignment horizontal="center" vertical="center" shrinkToFit="1"/>
    </xf>
    <xf numFmtId="0" fontId="10" fillId="7" borderId="12" applyAlignment="1" pivotButton="0" quotePrefix="0" xfId="30">
      <alignment horizontal="center" vertical="center"/>
    </xf>
    <xf numFmtId="0" fontId="8" fillId="9" borderId="12" applyAlignment="1" pivotButton="0" quotePrefix="0" xfId="30">
      <alignment horizontal="center" vertical="center"/>
    </xf>
    <xf numFmtId="0" fontId="12" fillId="9" borderId="3" applyAlignment="1" pivotButton="0" quotePrefix="0" xfId="30">
      <alignment horizontal="center" vertical="center"/>
    </xf>
    <xf numFmtId="0" fontId="10" fillId="9" borderId="12" applyAlignment="1" pivotButton="0" quotePrefix="0" xfId="30">
      <alignment horizontal="center" vertical="center"/>
    </xf>
    <xf numFmtId="0" fontId="2" fillId="9" borderId="13" applyAlignment="1" pivotButton="0" quotePrefix="0" xfId="30">
      <alignment horizontal="center" vertical="center"/>
    </xf>
    <xf numFmtId="0" fontId="1" fillId="10" borderId="0" applyAlignment="1" pivotButton="0" quotePrefix="0" xfId="30">
      <alignment horizontal="center" vertical="center"/>
    </xf>
    <xf numFmtId="0" fontId="18" fillId="10" borderId="10" applyAlignment="1" pivotButton="0" quotePrefix="0" xfId="30">
      <alignment horizontal="center" vertical="center" shrinkToFit="1"/>
    </xf>
    <xf numFmtId="0" fontId="18" fillId="10" borderId="3" applyAlignment="1" pivotButton="0" quotePrefix="0" xfId="30">
      <alignment horizontal="center" vertical="center" shrinkToFit="1"/>
    </xf>
    <xf numFmtId="0" fontId="8" fillId="9" borderId="17" applyAlignment="1" pivotButton="0" quotePrefix="0" xfId="30">
      <alignment horizontal="center" vertical="center"/>
    </xf>
    <xf numFmtId="0" fontId="19" fillId="8" borderId="3" applyAlignment="1" pivotButton="0" quotePrefix="0" xfId="30">
      <alignment horizontal="center" vertical="center" shrinkToFit="1"/>
    </xf>
    <xf numFmtId="0" fontId="1" fillId="9" borderId="13" applyAlignment="1" pivotButton="0" quotePrefix="0" xfId="30">
      <alignment horizontal="center" vertical="center"/>
    </xf>
    <xf numFmtId="0" fontId="15" fillId="9" borderId="3" applyAlignment="1" pivotButton="0" quotePrefix="0" xfId="30">
      <alignment vertical="center" shrinkToFit="1"/>
    </xf>
    <xf numFmtId="0" fontId="8" fillId="9" borderId="18" applyAlignment="1" pivotButton="0" quotePrefix="0" xfId="30">
      <alignment horizontal="center" vertical="center"/>
    </xf>
    <xf numFmtId="0" fontId="14" fillId="7" borderId="12" applyAlignment="1" pivotButton="0" quotePrefix="0" xfId="30">
      <alignment horizontal="center" vertical="center"/>
    </xf>
    <xf numFmtId="0" fontId="19" fillId="7" borderId="3" applyAlignment="1" pivotButton="0" quotePrefix="0" xfId="30">
      <alignment horizontal="center" vertical="center" shrinkToFit="1"/>
    </xf>
    <xf numFmtId="0" fontId="20" fillId="7" borderId="12" applyAlignment="1" pivotButton="0" quotePrefix="0" xfId="30">
      <alignment horizontal="center" vertical="center"/>
    </xf>
    <xf numFmtId="0" fontId="2" fillId="0" borderId="3" applyAlignment="1" pivotButton="0" quotePrefix="0" xfId="30">
      <alignment horizontal="center" vertical="center" shrinkToFit="1"/>
    </xf>
    <xf numFmtId="0" fontId="8" fillId="6" borderId="17" applyAlignment="1" pivotButton="0" quotePrefix="0" xfId="30">
      <alignment horizontal="center" vertical="center"/>
    </xf>
    <xf numFmtId="0" fontId="2" fillId="6" borderId="13" applyAlignment="1" pivotButton="0" quotePrefix="0" xfId="30">
      <alignment horizontal="center" vertical="center" shrinkToFit="1"/>
    </xf>
    <xf numFmtId="0" fontId="8" fillId="6" borderId="18" applyAlignment="1" pivotButton="0" quotePrefix="0" xfId="30">
      <alignment horizontal="center" vertical="center"/>
    </xf>
    <xf numFmtId="0" fontId="21" fillId="7" borderId="13" applyAlignment="1" pivotButton="0" quotePrefix="0" xfId="30">
      <alignment horizontal="center" vertical="center"/>
    </xf>
    <xf numFmtId="0" fontId="2" fillId="7" borderId="13" applyAlignment="1" pivotButton="0" quotePrefix="0" xfId="30">
      <alignment horizontal="center" vertical="center" shrinkToFit="1"/>
    </xf>
    <xf numFmtId="0" fontId="21" fillId="0" borderId="13" applyAlignment="1" pivotButton="0" quotePrefix="0" xfId="30">
      <alignment horizontal="center" vertical="center"/>
    </xf>
    <xf numFmtId="0" fontId="1" fillId="0" borderId="12" applyAlignment="1" pivotButton="0" quotePrefix="0" xfId="30">
      <alignment horizontal="center" vertical="center"/>
    </xf>
    <xf numFmtId="0" fontId="1" fillId="0" borderId="3" applyAlignment="1" pivotButton="0" quotePrefix="0" xfId="30">
      <alignment horizontal="center" vertical="center"/>
    </xf>
    <xf numFmtId="0" fontId="1" fillId="9" borderId="19" applyAlignment="1" pivotButton="0" quotePrefix="0" xfId="30">
      <alignment horizontal="center" vertical="center"/>
    </xf>
    <xf numFmtId="0" fontId="1" fillId="9" borderId="0" applyAlignment="1" pivotButton="0" quotePrefix="0" xfId="30">
      <alignment horizontal="center" vertical="center"/>
    </xf>
    <xf numFmtId="0" fontId="22" fillId="10" borderId="10" applyAlignment="1" pivotButton="0" quotePrefix="0" xfId="30">
      <alignment horizontal="center" vertical="center" shrinkToFit="1"/>
    </xf>
    <xf numFmtId="0" fontId="22" fillId="10" borderId="16" applyAlignment="1" pivotButton="0" quotePrefix="0" xfId="30">
      <alignment horizontal="center" vertical="center" shrinkToFit="1"/>
    </xf>
    <xf numFmtId="0" fontId="23" fillId="8" borderId="17" applyAlignment="1" pivotButton="0" quotePrefix="0" xfId="30">
      <alignment horizontal="center" vertical="center"/>
    </xf>
    <xf numFmtId="0" fontId="11" fillId="8" borderId="10" applyAlignment="1" pivotButton="0" quotePrefix="0" xfId="30">
      <alignment horizontal="center" vertical="center" shrinkToFit="1"/>
    </xf>
    <xf numFmtId="0" fontId="21" fillId="9" borderId="13" applyAlignment="1" pivotButton="0" quotePrefix="0" xfId="30">
      <alignment horizontal="center" vertical="center"/>
    </xf>
    <xf numFmtId="0" fontId="2" fillId="9" borderId="13" applyAlignment="1" pivotButton="0" quotePrefix="0" xfId="30">
      <alignment horizontal="center" vertical="center" shrinkToFit="1"/>
    </xf>
    <xf numFmtId="0" fontId="24" fillId="8" borderId="18" applyAlignment="1" pivotButton="0" quotePrefix="0" xfId="30">
      <alignment horizontal="center" vertical="center"/>
    </xf>
    <xf numFmtId="0" fontId="22" fillId="8" borderId="16" applyAlignment="1" pivotButton="0" quotePrefix="0" xfId="30">
      <alignment horizontal="center" vertical="center" shrinkToFit="1"/>
    </xf>
    <xf numFmtId="0" fontId="8" fillId="6" borderId="20" applyAlignment="1" pivotButton="0" quotePrefix="0" xfId="30">
      <alignment horizontal="center" vertical="center"/>
    </xf>
    <xf numFmtId="0" fontId="4" fillId="10" borderId="21" applyAlignment="1" pivotButton="0" quotePrefix="0" xfId="30">
      <alignment horizontal="center" vertical="center" shrinkToFit="1"/>
    </xf>
    <xf numFmtId="0" fontId="8" fillId="6" borderId="22" applyAlignment="1" pivotButton="0" quotePrefix="0" xfId="30">
      <alignment horizontal="center" vertical="center"/>
    </xf>
    <xf numFmtId="0" fontId="8" fillId="8" borderId="17" applyAlignment="1" pivotButton="0" quotePrefix="0" xfId="30">
      <alignment horizontal="center" vertical="center"/>
    </xf>
    <xf numFmtId="0" fontId="4" fillId="8" borderId="3" applyAlignment="1" pivotButton="0" quotePrefix="0" xfId="30">
      <alignment horizontal="center" vertical="center" shrinkToFit="1"/>
    </xf>
    <xf numFmtId="0" fontId="8" fillId="8" borderId="18" applyAlignment="1" pivotButton="0" quotePrefix="0" xfId="30">
      <alignment horizontal="center" vertical="center"/>
    </xf>
    <xf numFmtId="0" fontId="8" fillId="6" borderId="23" applyAlignment="1" pivotButton="0" quotePrefix="0" xfId="30">
      <alignment horizontal="center" vertical="center"/>
    </xf>
    <xf numFmtId="0" fontId="4" fillId="10" borderId="21" applyAlignment="1" pivotButton="0" quotePrefix="0" xfId="30">
      <alignment vertical="center" shrinkToFit="1"/>
    </xf>
    <xf numFmtId="0" fontId="4" fillId="8" borderId="21" applyAlignment="1" pivotButton="0" quotePrefix="0" xfId="30">
      <alignment horizontal="center" vertical="center" shrinkToFit="1"/>
    </xf>
    <xf numFmtId="0" fontId="4" fillId="11" borderId="24" applyAlignment="1" pivotButton="0" quotePrefix="0" xfId="30">
      <alignment horizontal="center" vertical="center" shrinkToFit="1"/>
    </xf>
    <xf numFmtId="0" fontId="10" fillId="6" borderId="23" applyAlignment="1" pivotButton="0" quotePrefix="0" xfId="30">
      <alignment horizontal="center" vertical="center"/>
    </xf>
    <xf numFmtId="0" fontId="4" fillId="11" borderId="25" applyAlignment="1" pivotButton="0" quotePrefix="0" xfId="30">
      <alignment horizontal="center" vertical="center" shrinkToFit="1"/>
    </xf>
    <xf numFmtId="0" fontId="25" fillId="0" borderId="23" applyAlignment="1" pivotButton="0" quotePrefix="0" xfId="30">
      <alignment horizontal="center" vertical="center"/>
    </xf>
    <xf numFmtId="0" fontId="2" fillId="0" borderId="23" applyAlignment="1" pivotButton="0" quotePrefix="0" xfId="30">
      <alignment horizontal="center" vertical="center"/>
    </xf>
    <xf numFmtId="0" fontId="25" fillId="6" borderId="23" applyAlignment="1" pivotButton="0" quotePrefix="0" xfId="30">
      <alignment horizontal="center" vertical="center"/>
    </xf>
    <xf numFmtId="0" fontId="4" fillId="12" borderId="24" applyAlignment="1" pivotButton="0" quotePrefix="0" xfId="30">
      <alignment horizontal="center" vertical="center" shrinkToFit="1"/>
    </xf>
    <xf numFmtId="0" fontId="2" fillId="6" borderId="23" applyAlignment="1" pivotButton="0" quotePrefix="0" xfId="30">
      <alignment horizontal="center" vertical="center"/>
    </xf>
    <xf numFmtId="0" fontId="4" fillId="12" borderId="25" applyAlignment="1" pivotButton="0" quotePrefix="0" xfId="30">
      <alignment horizontal="center" vertical="center" shrinkToFit="1"/>
    </xf>
    <xf numFmtId="0" fontId="26" fillId="0" borderId="23" applyAlignment="1" pivotButton="0" quotePrefix="0" xfId="30">
      <alignment horizontal="center" vertical="center"/>
    </xf>
    <xf numFmtId="0" fontId="27" fillId="6" borderId="23" applyAlignment="1" pivotButton="0" quotePrefix="0" xfId="30">
      <alignment horizontal="center" vertical="center"/>
    </xf>
    <xf numFmtId="0" fontId="28" fillId="6" borderId="23" applyAlignment="1" pivotButton="0" quotePrefix="0" xfId="30">
      <alignment horizontal="center" vertical="center"/>
    </xf>
    <xf numFmtId="0" fontId="27" fillId="0" borderId="23" applyAlignment="1" pivotButton="0" quotePrefix="0" xfId="30">
      <alignment horizontal="center" vertical="center"/>
    </xf>
    <xf numFmtId="0" fontId="28" fillId="0" borderId="23" applyAlignment="1" pivotButton="0" quotePrefix="0" xfId="30">
      <alignment horizontal="center" vertical="center"/>
    </xf>
    <xf numFmtId="167" fontId="6" fillId="13" borderId="9" applyAlignment="1" pivotButton="0" quotePrefix="0" xfId="30">
      <alignment horizontal="center" vertical="center"/>
    </xf>
    <xf numFmtId="167" fontId="6" fillId="4" borderId="10" applyAlignment="1" pivotButton="0" quotePrefix="0" xfId="30">
      <alignment horizontal="center" vertical="center"/>
    </xf>
    <xf numFmtId="0" fontId="29" fillId="0" borderId="3" applyAlignment="1" pivotButton="0" quotePrefix="0" xfId="30">
      <alignment horizontal="center" vertical="center"/>
    </xf>
    <xf numFmtId="0" fontId="12" fillId="8" borderId="3" applyAlignment="1" pivotButton="0" quotePrefix="0" xfId="30">
      <alignment horizontal="center" vertical="center"/>
    </xf>
    <xf numFmtId="0" fontId="12" fillId="0" borderId="12" applyAlignment="1" pivotButton="0" quotePrefix="0" xfId="30">
      <alignment horizontal="center" vertical="center"/>
    </xf>
    <xf numFmtId="0" fontId="18" fillId="0" borderId="3" applyAlignment="1" pivotButton="0" quotePrefix="0" xfId="30">
      <alignment horizontal="center" vertical="center"/>
    </xf>
    <xf numFmtId="0" fontId="2" fillId="0" borderId="15" applyAlignment="1" pivotButton="0" quotePrefix="0" xfId="30">
      <alignment horizontal="center" vertical="center"/>
    </xf>
    <xf numFmtId="0" fontId="12" fillId="9" borderId="12" applyAlignment="1" pivotButton="0" quotePrefix="0" xfId="30">
      <alignment horizontal="center" vertical="center"/>
    </xf>
    <xf numFmtId="0" fontId="2" fillId="9" borderId="15" applyAlignment="1" pivotButton="0" quotePrefix="0" xfId="30">
      <alignment horizontal="center" vertical="center"/>
    </xf>
    <xf numFmtId="0" fontId="2" fillId="8" borderId="13" applyAlignment="1" pivotButton="0" quotePrefix="0" xfId="30">
      <alignment horizontal="center" vertical="center"/>
    </xf>
    <xf numFmtId="0" fontId="18" fillId="6" borderId="3" applyAlignment="1" pivotButton="0" quotePrefix="0" xfId="30">
      <alignment horizontal="center" vertical="center" shrinkToFit="1"/>
    </xf>
    <xf numFmtId="0" fontId="1" fillId="9" borderId="3" applyAlignment="1" pivotButton="0" quotePrefix="0" xfId="30">
      <alignment horizontal="center" vertical="center"/>
    </xf>
    <xf numFmtId="0" fontId="30" fillId="9" borderId="3" applyAlignment="1" pivotButton="0" quotePrefix="0" xfId="30">
      <alignment horizontal="center" vertical="center" shrinkToFit="1"/>
    </xf>
    <xf numFmtId="0" fontId="2" fillId="0" borderId="0" applyAlignment="1" pivotButton="0" quotePrefix="0" xfId="30">
      <alignment horizontal="center" vertical="center"/>
    </xf>
    <xf numFmtId="0" fontId="31" fillId="0" borderId="3" applyAlignment="1" pivotButton="0" quotePrefix="0" xfId="30">
      <alignment horizontal="center" vertical="center"/>
    </xf>
    <xf numFmtId="0" fontId="18" fillId="0" borderId="3" applyAlignment="1" pivotButton="0" quotePrefix="0" xfId="30">
      <alignment horizontal="center" vertical="center" shrinkToFit="1"/>
    </xf>
    <xf numFmtId="0" fontId="2" fillId="9" borderId="0" applyAlignment="1" pivotButton="0" quotePrefix="0" xfId="30">
      <alignment horizontal="center" vertical="center"/>
    </xf>
    <xf numFmtId="0" fontId="18" fillId="9" borderId="3" applyAlignment="1" pivotButton="0" quotePrefix="0" xfId="30">
      <alignment horizontal="center" vertical="center" shrinkToFit="1"/>
    </xf>
    <xf numFmtId="0" fontId="31" fillId="9" borderId="3" applyAlignment="1" pivotButton="0" quotePrefix="0" xfId="30">
      <alignment horizontal="center" vertical="center" shrinkToFit="1"/>
    </xf>
    <xf numFmtId="0" fontId="32" fillId="6" borderId="3" applyAlignment="1" pivotButton="0" quotePrefix="0" xfId="30">
      <alignment horizontal="center" vertical="center" shrinkToFit="1"/>
    </xf>
    <xf numFmtId="0" fontId="32" fillId="9" borderId="3" applyAlignment="1" pivotButton="0" quotePrefix="0" xfId="30">
      <alignment horizontal="center" vertical="center" shrinkToFit="1"/>
    </xf>
    <xf numFmtId="0" fontId="2" fillId="0" borderId="3" applyAlignment="1" pivotButton="0" quotePrefix="0" xfId="30">
      <alignment horizontal="center" vertical="center" wrapText="1" shrinkToFit="1"/>
    </xf>
    <xf numFmtId="0" fontId="18" fillId="9" borderId="16" applyAlignment="1" pivotButton="0" quotePrefix="0" xfId="30">
      <alignment horizontal="center" vertical="center" shrinkToFit="1"/>
    </xf>
    <xf numFmtId="0" fontId="2" fillId="4" borderId="26" applyAlignment="1" pivotButton="0" quotePrefix="0" xfId="30">
      <alignment horizontal="center" vertical="center"/>
    </xf>
    <xf numFmtId="0" fontId="1" fillId="4" borderId="27" applyAlignment="1" pivotButton="0" quotePrefix="0" xfId="30">
      <alignment horizontal="center" vertical="center"/>
    </xf>
    <xf numFmtId="0" fontId="1" fillId="0" borderId="0" applyAlignment="1" pivotButton="0" quotePrefix="0" xfId="30">
      <alignment horizontal="center" vertical="center"/>
    </xf>
    <xf numFmtId="0" fontId="1" fillId="4" borderId="28" applyAlignment="1" pivotButton="0" quotePrefix="0" xfId="30">
      <alignment vertical="center"/>
    </xf>
    <xf numFmtId="164" fontId="1" fillId="0" borderId="0" applyAlignment="1" pivotButton="0" quotePrefix="0" xfId="8">
      <alignment horizontal="center" vertical="center"/>
    </xf>
    <xf numFmtId="0" fontId="1" fillId="4" borderId="29" applyAlignment="1" pivotButton="0" quotePrefix="0" xfId="30">
      <alignment horizontal="center" vertical="center"/>
    </xf>
    <xf numFmtId="164" fontId="33" fillId="0" borderId="0" applyAlignment="1" pivotButton="0" quotePrefix="0" xfId="8">
      <alignment horizontal="center" vertical="center"/>
    </xf>
    <xf numFmtId="165" fontId="1" fillId="0" borderId="0" applyAlignment="1" pivotButton="0" quotePrefix="0" xfId="8">
      <alignment horizontal="center" vertical="center"/>
    </xf>
    <xf numFmtId="0" fontId="1" fillId="4" borderId="30" applyAlignment="1" pivotButton="0" quotePrefix="0" xfId="30">
      <alignment horizontal="center" vertical="center"/>
    </xf>
    <xf numFmtId="0" fontId="33" fillId="0" borderId="0" applyAlignment="1" pivotButton="0" quotePrefix="0" xfId="8">
      <alignment horizontal="center" vertical="top"/>
    </xf>
    <xf numFmtId="0" fontId="34" fillId="0" borderId="0" applyAlignment="1" pivotButton="0" quotePrefix="0" xfId="8">
      <alignment horizontal="center" vertical="center"/>
    </xf>
    <xf numFmtId="0" fontId="1" fillId="0" borderId="0" applyAlignment="1" pivotButton="0" quotePrefix="0" xfId="8">
      <alignment horizontal="center" vertical="center"/>
    </xf>
    <xf numFmtId="0" fontId="33" fillId="0" borderId="0" applyAlignment="1" pivotButton="0" quotePrefix="0" xfId="8">
      <alignment vertical="center"/>
    </xf>
    <xf numFmtId="0" fontId="33" fillId="0" borderId="0" applyAlignment="1" pivotButton="0" quotePrefix="0" xfId="8">
      <alignment horizontal="center" vertical="center"/>
    </xf>
    <xf numFmtId="0" fontId="1" fillId="0" borderId="0" applyAlignment="1" pivotButton="0" quotePrefix="0" xfId="8">
      <alignment vertical="center"/>
    </xf>
    <xf numFmtId="0" fontId="18" fillId="9" borderId="10" applyAlignment="1" pivotButton="0" quotePrefix="0" xfId="30">
      <alignment horizontal="center" vertical="center" shrinkToFit="1"/>
    </xf>
    <xf numFmtId="0" fontId="33" fillId="0" borderId="0" applyAlignment="1" pivotButton="0" quotePrefix="0" xfId="30">
      <alignment vertical="center"/>
    </xf>
    <xf numFmtId="0" fontId="33" fillId="0" borderId="0" applyAlignment="1" pivotButton="0" quotePrefix="0" xfId="30">
      <alignment horizontal="center" vertical="center"/>
    </xf>
    <xf numFmtId="0" fontId="2" fillId="0" borderId="3" applyAlignment="1" pivotButton="0" quotePrefix="0" xfId="30">
      <alignment vertical="center" shrinkToFit="1"/>
    </xf>
    <xf numFmtId="165" fontId="33" fillId="0" borderId="0" applyAlignment="1" pivotButton="0" quotePrefix="0" xfId="8">
      <alignment vertical="center"/>
    </xf>
    <xf numFmtId="164" fontId="33" fillId="0" borderId="0" applyAlignment="1" pivotButton="0" quotePrefix="0" xfId="8">
      <alignment vertical="center"/>
    </xf>
    <xf numFmtId="0" fontId="33" fillId="0" borderId="3" applyAlignment="1" pivotButton="0" quotePrefix="0" xfId="8">
      <alignment horizontal="center" vertical="center"/>
    </xf>
    <xf numFmtId="0" fontId="1" fillId="7" borderId="30" applyAlignment="1" pivotButton="0" quotePrefix="0" xfId="30">
      <alignment horizontal="center" vertical="center"/>
    </xf>
    <xf numFmtId="0" fontId="1" fillId="4" borderId="3" applyAlignment="1" pivotButton="0" quotePrefix="0" xfId="30">
      <alignment horizontal="center" vertical="center"/>
    </xf>
    <xf numFmtId="0" fontId="2" fillId="6" borderId="12" applyAlignment="1" pivotButton="0" quotePrefix="0" xfId="30">
      <alignment horizontal="center" vertical="center" shrinkToFit="1"/>
    </xf>
    <xf numFmtId="0" fontId="2" fillId="0" borderId="12" applyAlignment="1" pivotButton="0" quotePrefix="0" xfId="30">
      <alignment horizontal="center" vertical="center" shrinkToFit="1"/>
    </xf>
    <xf numFmtId="0" fontId="21" fillId="0" borderId="0" applyAlignment="1" pivotButton="0" quotePrefix="0" xfId="30">
      <alignment horizontal="center" vertical="center"/>
    </xf>
    <xf numFmtId="0" fontId="33" fillId="0" borderId="0" applyAlignment="1" pivotButton="0" quotePrefix="0" xfId="30">
      <alignment horizontal="center" vertical="center"/>
    </xf>
    <xf numFmtId="0" fontId="34" fillId="0" borderId="0" applyAlignment="1" pivotButton="0" quotePrefix="0" xfId="30">
      <alignment vertical="center"/>
    </xf>
    <xf numFmtId="0" fontId="4" fillId="14" borderId="24" applyAlignment="1" pivotButton="0" quotePrefix="0" xfId="30">
      <alignment horizontal="center" vertical="center" shrinkToFit="1"/>
    </xf>
    <xf numFmtId="0" fontId="4" fillId="14" borderId="25" applyAlignment="1" pivotButton="0" quotePrefix="0" xfId="30">
      <alignment horizontal="center" vertical="center" shrinkToFit="1"/>
    </xf>
    <xf numFmtId="0" fontId="28" fillId="0" borderId="15" applyAlignment="1" pivotButton="0" quotePrefix="0" xfId="30">
      <alignment horizontal="center" vertical="center"/>
    </xf>
    <xf numFmtId="0" fontId="27" fillId="6" borderId="15" applyAlignment="1" pivotButton="0" quotePrefix="0" xfId="30">
      <alignment horizontal="center" vertical="center"/>
    </xf>
    <xf numFmtId="0" fontId="28" fillId="6" borderId="15" applyAlignment="1" pivotButton="0" quotePrefix="0" xfId="30">
      <alignment horizontal="center" vertical="center"/>
    </xf>
    <xf numFmtId="0" fontId="27" fillId="0" borderId="15" applyAlignment="1" pivotButton="0" quotePrefix="0" xfId="30">
      <alignment horizontal="center" vertical="center"/>
    </xf>
    <xf numFmtId="0" fontId="27" fillId="6" borderId="22" applyAlignment="1" pivotButton="0" quotePrefix="0" xfId="30">
      <alignment horizontal="center" vertical="center"/>
    </xf>
    <xf numFmtId="0" fontId="27" fillId="6" borderId="31" applyAlignment="1" pivotButton="0" quotePrefix="0" xfId="30">
      <alignment horizontal="center" vertical="center"/>
    </xf>
    <xf numFmtId="0" fontId="34" fillId="7" borderId="32" applyAlignment="1" pivotButton="0" quotePrefix="0" xfId="30">
      <alignment horizontal="center" vertical="center"/>
    </xf>
    <xf numFmtId="0" fontId="34" fillId="7" borderId="10" applyAlignment="1" pivotButton="0" quotePrefix="0" xfId="30">
      <alignment horizontal="center" vertical="center"/>
    </xf>
    <xf numFmtId="168" fontId="34" fillId="7" borderId="10" applyAlignment="1" pivotButton="0" quotePrefix="0" xfId="30">
      <alignment horizontal="center" vertical="center"/>
    </xf>
    <xf numFmtId="0" fontId="1" fillId="0" borderId="1" applyAlignment="1" pivotButton="0" quotePrefix="0" xfId="30">
      <alignment horizontal="center" vertical="center"/>
    </xf>
    <xf numFmtId="0" fontId="34" fillId="7" borderId="5" applyAlignment="1" pivotButton="0" quotePrefix="0" xfId="30">
      <alignment horizontal="center" vertical="center"/>
    </xf>
    <xf numFmtId="0" fontId="34" fillId="7" borderId="30" applyAlignment="1" pivotButton="0" quotePrefix="0" xfId="30">
      <alignment vertical="center"/>
    </xf>
    <xf numFmtId="0" fontId="34" fillId="7" borderId="3" applyAlignment="1" pivotButton="0" quotePrefix="0" xfId="30">
      <alignment horizontal="center" vertical="center"/>
    </xf>
    <xf numFmtId="0" fontId="35" fillId="7" borderId="3" applyAlignment="1" pivotButton="0" quotePrefix="0" xfId="30">
      <alignment horizontal="left" vertical="center"/>
    </xf>
    <xf numFmtId="0" fontId="18" fillId="7" borderId="3" applyAlignment="1" pivotButton="0" quotePrefix="0" xfId="30">
      <alignment horizontal="left" vertical="center"/>
    </xf>
    <xf numFmtId="0" fontId="29" fillId="7" borderId="3" applyAlignment="1" pivotButton="0" quotePrefix="0" xfId="30">
      <alignment horizontal="center" vertical="center"/>
    </xf>
    <xf numFmtId="0" fontId="34" fillId="7" borderId="3" applyAlignment="1" pivotButton="0" quotePrefix="0" xfId="30">
      <alignment horizontal="center" vertical="center"/>
    </xf>
    <xf numFmtId="0" fontId="34" fillId="7" borderId="3" applyAlignment="1" pivotButton="0" quotePrefix="0" xfId="30">
      <alignment horizontal="center" vertical="center" wrapText="1"/>
    </xf>
    <xf numFmtId="0" fontId="34" fillId="7" borderId="9" applyAlignment="1" pivotButton="0" quotePrefix="0" xfId="30">
      <alignment horizontal="center" vertical="center" wrapText="1"/>
    </xf>
    <xf numFmtId="0" fontId="36" fillId="7" borderId="9" applyAlignment="1" pivotButton="0" quotePrefix="0" xfId="30">
      <alignment horizontal="left" vertical="center"/>
    </xf>
    <xf numFmtId="0" fontId="36" fillId="7" borderId="9" applyAlignment="1" pivotButton="0" quotePrefix="0" xfId="30">
      <alignment horizontal="left" vertical="center"/>
    </xf>
    <xf numFmtId="0" fontId="37" fillId="7" borderId="3" applyAlignment="1" pivotButton="0" quotePrefix="0" xfId="30">
      <alignment horizontal="center" vertical="center"/>
    </xf>
    <xf numFmtId="0" fontId="38" fillId="7" borderId="3" applyAlignment="1" pivotButton="0" quotePrefix="0" xfId="30">
      <alignment horizontal="center" vertical="center"/>
    </xf>
    <xf numFmtId="0" fontId="39" fillId="7" borderId="9" applyAlignment="1" pivotButton="0" quotePrefix="0" xfId="30">
      <alignment vertical="center"/>
    </xf>
    <xf numFmtId="0" fontId="38" fillId="7" borderId="9" applyAlignment="1" pivotButton="0" quotePrefix="0" xfId="30">
      <alignment horizontal="center" vertical="center"/>
    </xf>
    <xf numFmtId="0" fontId="40" fillId="7" borderId="3" applyAlignment="1" pivotButton="0" quotePrefix="0" xfId="30">
      <alignment horizontal="center" vertical="center"/>
    </xf>
    <xf numFmtId="0" fontId="34" fillId="7" borderId="33" applyAlignment="1" pivotButton="0" quotePrefix="0" xfId="30">
      <alignment horizontal="center" vertical="center"/>
    </xf>
    <xf numFmtId="165" fontId="1" fillId="0" borderId="34" applyAlignment="1" pivotButton="0" quotePrefix="0" xfId="8">
      <alignment vertical="center"/>
    </xf>
    <xf numFmtId="0" fontId="34" fillId="7" borderId="27" applyAlignment="1" pivotButton="0" quotePrefix="0" xfId="30">
      <alignment horizontal="center" vertical="center"/>
    </xf>
    <xf numFmtId="0" fontId="18" fillId="7" borderId="3" applyAlignment="1" pivotButton="0" quotePrefix="0" xfId="30">
      <alignment horizontal="center" vertical="center" shrinkToFit="1"/>
    </xf>
    <xf numFmtId="0" fontId="34" fillId="7" borderId="30" applyAlignment="1" pivotButton="0" quotePrefix="0" xfId="30">
      <alignment horizontal="center" vertical="center"/>
    </xf>
    <xf numFmtId="0" fontId="34" fillId="7" borderId="12" applyAlignment="1" pivotButton="0" quotePrefix="0" xfId="30">
      <alignment horizontal="center" vertical="center"/>
    </xf>
    <xf numFmtId="0" fontId="38" fillId="7" borderId="12" applyAlignment="1" pivotButton="0" quotePrefix="0" xfId="30">
      <alignment horizontal="center" vertical="center"/>
    </xf>
    <xf numFmtId="0" fontId="38" fillId="7" borderId="35" applyAlignment="1" pivotButton="0" quotePrefix="0" xfId="30">
      <alignment horizontal="center" vertical="center"/>
    </xf>
    <xf numFmtId="0" fontId="34" fillId="7" borderId="28" applyAlignment="1" pivotButton="0" quotePrefix="0" xfId="30">
      <alignment vertical="center"/>
    </xf>
    <xf numFmtId="164" fontId="1" fillId="0" borderId="0" applyAlignment="1" pivotButton="0" quotePrefix="0" xfId="8">
      <alignment vertical="center"/>
    </xf>
    <xf numFmtId="165" fontId="1" fillId="0" borderId="0" applyAlignment="1" pivotButton="0" quotePrefix="0" xfId="8">
      <alignment vertical="center"/>
    </xf>
    <xf numFmtId="0" fontId="0" fillId="0" borderId="0" pivotButton="0" quotePrefix="0" xfId="0"/>
    <xf numFmtId="0" fontId="1" fillId="0" borderId="50" applyAlignment="1" pivotButton="0" quotePrefix="0" xfId="30">
      <alignment horizontal="center" vertical="center"/>
    </xf>
    <xf numFmtId="166" fontId="1" fillId="2" borderId="4" applyAlignment="1" pivotButton="0" quotePrefix="0" xfId="30">
      <alignment horizontal="center" vertical="center"/>
    </xf>
    <xf numFmtId="0" fontId="0" fillId="0" borderId="7" pivotButton="0" quotePrefix="0" xfId="0"/>
    <xf numFmtId="167" fontId="5" fillId="4" borderId="9" applyAlignment="1" pivotButton="0" quotePrefix="0" xfId="30">
      <alignment horizontal="center" vertical="center"/>
    </xf>
    <xf numFmtId="167" fontId="6" fillId="4" borderId="9" applyAlignment="1" pivotButton="0" quotePrefix="0" xfId="30">
      <alignment horizontal="center" vertical="center"/>
    </xf>
    <xf numFmtId="167" fontId="7" fillId="4" borderId="10" applyAlignment="1" pivotButton="0" quotePrefix="0" xfId="30">
      <alignment horizontal="center" vertical="center"/>
    </xf>
    <xf numFmtId="167" fontId="6" fillId="13" borderId="9" applyAlignment="1" pivotButton="0" quotePrefix="0" xfId="30">
      <alignment horizontal="center" vertical="center"/>
    </xf>
    <xf numFmtId="167" fontId="6" fillId="4" borderId="10" applyAlignment="1" pivotButton="0" quotePrefix="0" xfId="30">
      <alignment horizontal="center" vertical="center"/>
    </xf>
    <xf numFmtId="164" fontId="1" fillId="0" borderId="0" applyAlignment="1" pivotButton="0" quotePrefix="0" xfId="8">
      <alignment horizontal="center" vertical="center"/>
    </xf>
    <xf numFmtId="164" fontId="33" fillId="0" borderId="0" applyAlignment="1" pivotButton="0" quotePrefix="0" xfId="8">
      <alignment horizontal="center" vertical="center"/>
    </xf>
    <xf numFmtId="165" fontId="1" fillId="0" borderId="0" applyAlignment="1" pivotButton="0" quotePrefix="0" xfId="8">
      <alignment horizontal="center" vertical="center"/>
    </xf>
    <xf numFmtId="0" fontId="0" fillId="0" borderId="11" pivotButton="0" quotePrefix="0" xfId="0"/>
    <xf numFmtId="0" fontId="0" fillId="0" borderId="18" pivotButton="0" quotePrefix="0" xfId="0"/>
    <xf numFmtId="0" fontId="0" fillId="0" borderId="16" pivotButton="0" quotePrefix="0" xfId="0"/>
    <xf numFmtId="0" fontId="0" fillId="0" borderId="29" pivotButton="0" quotePrefix="0" xfId="0"/>
    <xf numFmtId="165" fontId="33" fillId="0" borderId="0" applyAlignment="1" pivotButton="0" quotePrefix="0" xfId="8">
      <alignment vertical="center"/>
    </xf>
    <xf numFmtId="0" fontId="22" fillId="10" borderId="3" applyAlignment="1" pivotButton="0" quotePrefix="0" xfId="30">
      <alignment horizontal="center" vertical="center" shrinkToFit="1"/>
    </xf>
    <xf numFmtId="164" fontId="33" fillId="0" borderId="0" applyAlignment="1" pivotButton="0" quotePrefix="0" xfId="8">
      <alignment vertical="center"/>
    </xf>
    <xf numFmtId="0" fontId="23" fillId="8" borderId="12" applyAlignment="1" pivotButton="0" quotePrefix="0" xfId="30">
      <alignment horizontal="center" vertical="center"/>
    </xf>
    <xf numFmtId="0" fontId="0" fillId="0" borderId="22" pivotButton="0" quotePrefix="0" xfId="0"/>
    <xf numFmtId="0" fontId="0" fillId="0" borderId="21" pivotButton="0" quotePrefix="0" xfId="0"/>
    <xf numFmtId="0" fontId="8" fillId="8" borderId="12" applyAlignment="1" pivotButton="0" quotePrefix="0" xfId="30">
      <alignment horizontal="center" vertical="center"/>
    </xf>
    <xf numFmtId="0" fontId="4" fillId="11" borderId="54" applyAlignment="1" pivotButton="0" quotePrefix="0" xfId="30">
      <alignment horizontal="center" vertical="center" shrinkToFit="1"/>
    </xf>
    <xf numFmtId="0" fontId="0" fillId="0" borderId="25" pivotButton="0" quotePrefix="0" xfId="0"/>
    <xf numFmtId="0" fontId="4" fillId="12" borderId="54" applyAlignment="1" pivotButton="0" quotePrefix="0" xfId="30">
      <alignment horizontal="center" vertical="center" shrinkToFit="1"/>
    </xf>
    <xf numFmtId="0" fontId="4" fillId="14" borderId="54" applyAlignment="1" pivotButton="0" quotePrefix="0" xfId="30">
      <alignment horizontal="center" vertical="center" shrinkToFit="1"/>
    </xf>
    <xf numFmtId="0" fontId="0" fillId="0" borderId="44" pivotButton="0" quotePrefix="0" xfId="0"/>
    <xf numFmtId="168" fontId="34" fillId="7" borderId="10" applyAlignment="1" pivotButton="0" quotePrefix="0" xfId="30">
      <alignment horizontal="center" vertical="center"/>
    </xf>
    <xf numFmtId="165" fontId="1" fillId="0" borderId="34" applyAlignment="1" pivotButton="0" quotePrefix="0" xfId="8">
      <alignment vertical="center"/>
    </xf>
    <xf numFmtId="0" fontId="0" fillId="0" borderId="15" pivotButton="0" quotePrefix="0" xfId="0"/>
    <xf numFmtId="0" fontId="0" fillId="0" borderId="13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8" pivotButton="0" quotePrefix="0" xfId="0"/>
    <xf numFmtId="0" fontId="0" fillId="0" borderId="31" pivotButton="0" quotePrefix="0" xfId="0"/>
    <xf numFmtId="0" fontId="0" fillId="0" borderId="19" pivotButton="0" quotePrefix="0" xfId="0"/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一般 2" xfId="30"/>
    <cellStyle name="汇总" xfId="31" builtinId="25"/>
    <cellStyle name="好" xfId="32" builtinId="26"/>
    <cellStyle name="适中" xfId="33" builtinId="28"/>
    <cellStyle name="20% - 强调文字颜色 5" xfId="34" builtinId="46"/>
    <cellStyle name="强调文字颜色 1" xfId="35" builtinId="29"/>
    <cellStyle name="20% - 强调文字颜色 1" xfId="36" builtinId="30"/>
    <cellStyle name="40% - 强调文字颜色 1" xfId="37" builtinId="31"/>
    <cellStyle name="20% - 强调文字颜色 2" xfId="38" builtinId="34"/>
    <cellStyle name="40% - 强调文字颜色 2" xfId="39" builtinId="35"/>
    <cellStyle name="强调文字颜色 3" xfId="40" builtinId="37"/>
    <cellStyle name="强调文字颜色 4" xfId="41" builtinId="41"/>
    <cellStyle name="20% - 强调文字颜色 4" xfId="42" builtinId="42"/>
    <cellStyle name="40% - 强调文字颜色 4" xfId="43" builtinId="43"/>
    <cellStyle name="强调文字颜色 5" xfId="44" builtinId="45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83"/>
  <sheetViews>
    <sheetView tabSelected="1" zoomScale="106" zoomScaleNormal="106" workbookViewId="0">
      <selection activeCell="F11" sqref="F11"/>
    </sheetView>
  </sheetViews>
  <sheetFormatPr baseColWidth="8" defaultColWidth="9" defaultRowHeight="11.25"/>
  <cols>
    <col width="3" customWidth="1" style="3" min="1" max="1"/>
    <col width="12.375" customWidth="1" style="3" min="2" max="3"/>
    <col width="8.5" customWidth="1" style="140" min="4" max="4"/>
    <col width="6.75" customWidth="1" style="140" min="5" max="5"/>
    <col width="5.625" customWidth="1" style="140" min="6" max="25"/>
    <col width="4.5" customWidth="1" style="140" min="26" max="31"/>
    <col width="5.125" customWidth="1" style="140" min="32" max="32"/>
    <col width="4.5" customWidth="1" style="140" min="33" max="35"/>
    <col width="5.625" customWidth="1" style="3" min="36" max="36"/>
    <col width="2.625" customWidth="1" style="3" min="37" max="37"/>
    <col width="8.5" customWidth="1" style="204" min="38" max="38"/>
    <col width="8.5" customWidth="1" style="205" min="39" max="39"/>
    <col width="8.5" customWidth="1" style="204" min="40" max="40"/>
    <col width="9" customWidth="1" style="3" min="41" max="16384"/>
  </cols>
  <sheetData>
    <row r="1" ht="12" customHeight="1" s="206">
      <c r="A1" s="6" t="n"/>
      <c r="B1" s="207">
        <f>_xlfn.DISPIMG("ID_9981FD03894940A4847FD6406EC6075F",1)</f>
        <v/>
      </c>
      <c r="C1" s="8" t="inlineStr">
        <is>
          <t>东圃地铁站</t>
        </is>
      </c>
      <c r="D1" s="208" t="n">
        <v>45536</v>
      </c>
      <c r="E1" s="10" t="n">
        <v>1</v>
      </c>
      <c r="F1" s="10" t="n">
        <v>2</v>
      </c>
      <c r="G1" s="11" t="n">
        <v>3</v>
      </c>
      <c r="H1" s="12" t="n">
        <v>4</v>
      </c>
      <c r="I1" s="12" t="n">
        <v>5</v>
      </c>
      <c r="J1" s="11" t="n">
        <v>6</v>
      </c>
      <c r="K1" s="11" t="n">
        <v>7</v>
      </c>
      <c r="L1" s="11" t="n">
        <v>8</v>
      </c>
      <c r="M1" s="11" t="n">
        <v>9</v>
      </c>
      <c r="N1" s="11" t="n">
        <v>10</v>
      </c>
      <c r="O1" s="11" t="n">
        <v>11</v>
      </c>
      <c r="P1" s="11" t="n">
        <v>12</v>
      </c>
      <c r="Q1" s="11" t="n">
        <v>13</v>
      </c>
      <c r="R1" s="11" t="n">
        <v>14</v>
      </c>
      <c r="S1" s="11" t="n">
        <v>15</v>
      </c>
      <c r="T1" s="11" t="n">
        <v>16</v>
      </c>
      <c r="U1" s="11" t="n">
        <v>17</v>
      </c>
      <c r="V1" s="11" t="n">
        <v>18</v>
      </c>
      <c r="W1" s="11" t="n">
        <v>19</v>
      </c>
      <c r="X1" s="11" t="n">
        <v>20</v>
      </c>
      <c r="Y1" s="11" t="n">
        <v>21</v>
      </c>
      <c r="Z1" s="11" t="n">
        <v>22</v>
      </c>
      <c r="AA1" s="11" t="n">
        <v>23</v>
      </c>
      <c r="AB1" s="11" t="n">
        <v>24</v>
      </c>
      <c r="AC1" s="11" t="n">
        <v>25</v>
      </c>
      <c r="AD1" s="11" t="n">
        <v>26</v>
      </c>
      <c r="AE1" s="11" t="n">
        <v>27</v>
      </c>
      <c r="AF1" s="11" t="n">
        <v>28</v>
      </c>
      <c r="AG1" s="11" t="n">
        <v>29</v>
      </c>
      <c r="AH1" s="11" t="n">
        <v>30</v>
      </c>
      <c r="AI1" s="138" t="n">
        <v>31</v>
      </c>
      <c r="AJ1" s="139" t="inlineStr">
        <is>
          <t>總計</t>
        </is>
      </c>
      <c r="AK1" s="140" t="n"/>
    </row>
    <row r="2" ht="38.1" customHeight="1" s="206">
      <c r="A2" s="13" t="n"/>
      <c r="B2" s="209" t="n"/>
      <c r="C2" s="15" t="inlineStr">
        <is>
          <t>能力</t>
        </is>
      </c>
      <c r="D2" s="16" t="inlineStr">
        <is>
          <t>星期</t>
        </is>
      </c>
      <c r="E2" s="210" t="inlineStr">
        <is>
          <t>周三</t>
        </is>
      </c>
      <c r="F2" s="211" t="inlineStr">
        <is>
          <t>周四</t>
        </is>
      </c>
      <c r="G2" s="211" t="inlineStr">
        <is>
          <t>周五</t>
        </is>
      </c>
      <c r="H2" s="212" t="inlineStr">
        <is>
          <t>周六</t>
        </is>
      </c>
      <c r="I2" s="213" t="inlineStr">
        <is>
          <t>周日</t>
        </is>
      </c>
      <c r="J2" s="214" t="inlineStr">
        <is>
          <t>周一</t>
        </is>
      </c>
      <c r="K2" s="214" t="inlineStr">
        <is>
          <t>周二</t>
        </is>
      </c>
      <c r="L2" s="214" t="inlineStr">
        <is>
          <t>周三</t>
        </is>
      </c>
      <c r="M2" s="211" t="inlineStr">
        <is>
          <t>周四</t>
        </is>
      </c>
      <c r="N2" s="211" t="inlineStr">
        <is>
          <t>周五</t>
        </is>
      </c>
      <c r="O2" s="211" t="inlineStr">
        <is>
          <t>周六</t>
        </is>
      </c>
      <c r="P2" s="211" t="inlineStr">
        <is>
          <t>周日</t>
        </is>
      </c>
      <c r="Q2" s="211" t="inlineStr">
        <is>
          <t>周一</t>
        </is>
      </c>
      <c r="R2" s="211" t="inlineStr">
        <is>
          <t>周二</t>
        </is>
      </c>
      <c r="S2" s="211" t="inlineStr">
        <is>
          <t>周三</t>
        </is>
      </c>
      <c r="T2" s="211" t="inlineStr">
        <is>
          <t>周四</t>
        </is>
      </c>
      <c r="U2" s="211" t="inlineStr">
        <is>
          <t>周五</t>
        </is>
      </c>
      <c r="V2" s="211" t="inlineStr">
        <is>
          <t>周六</t>
        </is>
      </c>
      <c r="W2" s="211" t="inlineStr">
        <is>
          <t>周日</t>
        </is>
      </c>
      <c r="X2" s="211" t="inlineStr">
        <is>
          <t>周一</t>
        </is>
      </c>
      <c r="Y2" s="211" t="inlineStr">
        <is>
          <t>周二</t>
        </is>
      </c>
      <c r="Z2" s="214" t="inlineStr">
        <is>
          <t>周三</t>
        </is>
      </c>
      <c r="AA2" s="211" t="inlineStr">
        <is>
          <t>周四</t>
        </is>
      </c>
      <c r="AB2" s="211" t="inlineStr">
        <is>
          <t>周五</t>
        </is>
      </c>
      <c r="AC2" s="211" t="inlineStr">
        <is>
          <t>周六</t>
        </is>
      </c>
      <c r="AD2" s="211" t="inlineStr">
        <is>
          <t>周日</t>
        </is>
      </c>
      <c r="AE2" s="211" t="inlineStr">
        <is>
          <t>周一</t>
        </is>
      </c>
      <c r="AF2" s="211" t="inlineStr">
        <is>
          <t>周二</t>
        </is>
      </c>
      <c r="AG2" s="211" t="inlineStr">
        <is>
          <t>周三</t>
        </is>
      </c>
      <c r="AH2" s="211" t="inlineStr">
        <is>
          <t>周四</t>
        </is>
      </c>
      <c r="AI2" s="211" t="inlineStr">
        <is>
          <t>周五</t>
        </is>
      </c>
      <c r="AJ2" s="141" t="n"/>
      <c r="AL2" s="215" t="inlineStr">
        <is>
          <t>Rate</t>
        </is>
      </c>
    </row>
    <row r="3" ht="15.75" customHeight="1" s="206">
      <c r="A3" s="20" t="n">
        <v>1</v>
      </c>
      <c r="B3" s="21" t="inlineStr">
        <is>
          <t>伍苑菱</t>
        </is>
      </c>
      <c r="C3" s="22" t="inlineStr">
        <is>
          <t>店经理</t>
        </is>
      </c>
      <c r="D3" s="23" t="inlineStr">
        <is>
          <t>上班</t>
        </is>
      </c>
      <c r="E3" s="24" t="n"/>
      <c r="F3" s="24" t="n"/>
      <c r="G3" s="24" t="n"/>
      <c r="H3" s="25" t="n"/>
      <c r="I3" s="25" t="n"/>
      <c r="J3" s="24" t="n"/>
      <c r="K3" s="24" t="n"/>
      <c r="L3" s="24" t="n"/>
      <c r="M3" s="24" t="n"/>
      <c r="N3" s="64" t="n"/>
      <c r="O3" s="64" t="n"/>
      <c r="P3" s="6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5" t="n"/>
      <c r="AB3" s="56" t="n"/>
      <c r="AC3" s="24" t="n"/>
      <c r="AD3" s="24" t="n"/>
      <c r="AE3" s="24" t="n"/>
      <c r="AF3" s="24" t="n"/>
      <c r="AG3" s="24" t="n"/>
      <c r="AH3" s="24" t="n"/>
      <c r="AI3" s="24" t="n"/>
      <c r="AJ3" s="143">
        <f>SUM(E4:AI4)-SUM(E3:AI3)</f>
        <v/>
      </c>
      <c r="AK3" s="140" t="n"/>
      <c r="AL3" s="216" t="inlineStr">
        <is>
          <t>总工时</t>
        </is>
      </c>
      <c r="AM3" s="217" t="inlineStr">
        <is>
          <t>三薪</t>
        </is>
      </c>
      <c r="AN3" s="216" t="inlineStr">
        <is>
          <t>支援</t>
        </is>
      </c>
      <c r="AO3" s="164" t="n"/>
      <c r="AP3" s="165" t="n"/>
    </row>
    <row r="4" ht="15.75" customHeight="1" s="206">
      <c r="A4" s="218" t="n"/>
      <c r="B4" s="219" t="n"/>
      <c r="C4" s="220" t="n"/>
      <c r="D4" s="23" t="inlineStr">
        <is>
          <t>下班</t>
        </is>
      </c>
      <c r="E4" s="24" t="n"/>
      <c r="F4" s="24" t="n"/>
      <c r="G4" s="24" t="n"/>
      <c r="H4" s="25" t="n"/>
      <c r="I4" s="25" t="n"/>
      <c r="J4" s="24" t="n"/>
      <c r="K4" s="24" t="n"/>
      <c r="L4" s="24" t="n"/>
      <c r="M4" s="24" t="n"/>
      <c r="N4" s="64" t="n"/>
      <c r="O4" s="64" t="n"/>
      <c r="P4" s="6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5" t="n"/>
      <c r="AB4" s="56" t="n"/>
      <c r="AC4" s="24" t="n"/>
      <c r="AD4" s="24" t="n"/>
      <c r="AE4" s="24" t="n"/>
      <c r="AF4" s="24" t="n"/>
      <c r="AG4" s="24" t="n"/>
      <c r="AH4" s="24" t="n"/>
      <c r="AI4" s="24" t="n"/>
      <c r="AJ4" s="221" t="n"/>
      <c r="AK4" s="140" t="n"/>
      <c r="AL4" s="147" t="n"/>
      <c r="AM4" s="148" t="n"/>
      <c r="AN4" s="149" t="n"/>
      <c r="AO4" s="154" t="n"/>
    </row>
    <row r="5" ht="15.75" customHeight="1" s="206">
      <c r="A5" s="26" t="n">
        <v>2</v>
      </c>
      <c r="B5" s="50" t="inlineStr">
        <is>
          <t>张晓玲</t>
        </is>
      </c>
      <c r="C5" s="29" t="inlineStr">
        <is>
          <t>高级调茶师</t>
        </is>
      </c>
      <c r="D5" s="30" t="inlineStr">
        <is>
          <t>上班</t>
        </is>
      </c>
      <c r="E5" s="31" t="n"/>
      <c r="F5" s="31" t="n"/>
      <c r="G5" s="31" t="n"/>
      <c r="H5" s="31" t="n"/>
      <c r="I5" s="117" t="n"/>
      <c r="J5" s="31" t="n"/>
      <c r="K5" s="31" t="n"/>
      <c r="L5" s="31" t="n"/>
      <c r="M5" s="31" t="n"/>
      <c r="N5" s="31" t="n"/>
      <c r="O5" s="31" t="n"/>
      <c r="P5" s="31" t="n"/>
      <c r="Q5" s="73" t="n"/>
      <c r="R5" s="73" t="n"/>
      <c r="S5" s="73" t="n"/>
      <c r="T5" s="73" t="n"/>
      <c r="U5" s="73" t="n"/>
      <c r="V5" s="127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143">
        <f>SUM(E6:AI6)-SUM(E5:AI5)</f>
        <v/>
      </c>
      <c r="AK5" s="140" t="n"/>
      <c r="AL5" s="150" t="n"/>
      <c r="AM5" s="148" t="n"/>
      <c r="AN5" s="149" t="n"/>
    </row>
    <row r="6" ht="15.75" customHeight="1" s="206">
      <c r="A6" s="218" t="n"/>
      <c r="B6" s="219" t="n"/>
      <c r="C6" s="220" t="n"/>
      <c r="D6" s="30" t="inlineStr">
        <is>
          <t>下班</t>
        </is>
      </c>
      <c r="E6" s="31" t="n"/>
      <c r="F6" s="34" t="n"/>
      <c r="G6" s="35" t="n"/>
      <c r="H6" s="35" t="n"/>
      <c r="I6" s="117" t="n"/>
      <c r="J6" s="35" t="n"/>
      <c r="K6" s="35" t="n"/>
      <c r="L6" s="35" t="n"/>
      <c r="M6" s="35" t="n"/>
      <c r="N6" s="35" t="n"/>
      <c r="O6" s="35" t="n"/>
      <c r="P6" s="35" t="n"/>
      <c r="Q6" s="73" t="n"/>
      <c r="R6" s="73" t="n"/>
      <c r="S6" s="73" t="n"/>
      <c r="T6" s="73" t="n"/>
      <c r="U6" s="73" t="n"/>
      <c r="V6" s="127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221" t="n"/>
      <c r="AK6" s="140" t="n"/>
      <c r="AL6" s="151" t="n"/>
      <c r="AM6" s="148" t="n"/>
      <c r="AN6" s="149" t="n"/>
      <c r="AO6" s="154" t="n"/>
    </row>
    <row r="7" ht="15.75" customHeight="1" s="206">
      <c r="A7" s="20" t="n">
        <v>3</v>
      </c>
      <c r="B7" s="36" t="inlineStr">
        <is>
          <t>曾洁惠</t>
        </is>
      </c>
      <c r="C7" s="37" t="inlineStr">
        <is>
          <t>高级调茶师</t>
        </is>
      </c>
      <c r="D7" s="23" t="inlineStr">
        <is>
          <t>上班</t>
        </is>
      </c>
      <c r="E7" s="38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  <c r="AI7" s="24" t="n"/>
      <c r="AJ7" s="143">
        <f>SUM(E8:AI8)-SUM(E7:AI7)</f>
        <v/>
      </c>
      <c r="AK7" s="140" t="n"/>
      <c r="AL7" s="150" t="n"/>
      <c r="AM7" s="148" t="n"/>
      <c r="AN7" s="152" t="n"/>
    </row>
    <row r="8" ht="15.75" customHeight="1" s="206">
      <c r="A8" s="218" t="n"/>
      <c r="B8" s="219" t="n"/>
      <c r="C8" s="220" t="n"/>
      <c r="D8" s="23" t="inlineStr">
        <is>
          <t>下班</t>
        </is>
      </c>
      <c r="E8" s="41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  <c r="AI8" s="24" t="n"/>
      <c r="AJ8" s="221" t="n"/>
      <c r="AK8" s="140" t="n"/>
      <c r="AL8" s="151" t="n"/>
      <c r="AM8" s="148" t="n"/>
      <c r="AN8" s="149" t="n"/>
      <c r="AO8" s="154" t="n"/>
    </row>
    <row r="9" ht="15" customHeight="1" s="206">
      <c r="A9" s="26" t="n">
        <v>4</v>
      </c>
      <c r="B9" s="42" t="inlineStr">
        <is>
          <t>吴小帅</t>
        </is>
      </c>
      <c r="C9" s="43" t="inlineStr">
        <is>
          <t>高级调茶师</t>
        </is>
      </c>
      <c r="D9" s="44" t="inlineStr">
        <is>
          <t>上班</t>
        </is>
      </c>
      <c r="E9" s="31" t="n"/>
      <c r="F9" s="31" t="n"/>
      <c r="G9" s="31" t="n"/>
      <c r="H9" s="31" t="n"/>
      <c r="I9" s="31" t="n"/>
      <c r="J9" s="118" t="n"/>
      <c r="K9" s="31" t="n"/>
      <c r="L9" s="31" t="n"/>
      <c r="M9" s="31" t="n"/>
      <c r="N9" s="119" t="n"/>
      <c r="O9" s="120" t="n"/>
      <c r="P9" s="31" t="n"/>
      <c r="Q9" s="73" t="n"/>
      <c r="R9" s="73" t="n"/>
      <c r="S9" s="73" t="n"/>
      <c r="T9" s="73" t="n"/>
      <c r="U9" s="128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H9" s="73" t="n"/>
      <c r="AI9" s="73" t="n"/>
      <c r="AJ9" s="143">
        <f>SUM(E10:AI10)-SUM(E9:AI9)</f>
        <v/>
      </c>
      <c r="AK9" s="140" t="n"/>
      <c r="AL9" s="151" t="n"/>
      <c r="AM9" s="148" t="n"/>
      <c r="AN9" s="152" t="n"/>
    </row>
    <row r="10" ht="15.75" customHeight="1" s="206">
      <c r="A10" s="218" t="n"/>
      <c r="B10" s="219" t="n"/>
      <c r="C10" s="220" t="n"/>
      <c r="D10" s="44" t="inlineStr">
        <is>
          <t>下班</t>
        </is>
      </c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121" t="n"/>
      <c r="O10" s="120" t="n"/>
      <c r="P10" s="35" t="n"/>
      <c r="Q10" s="52" t="n"/>
      <c r="R10" s="73" t="n"/>
      <c r="S10" s="73" t="n"/>
      <c r="T10" s="73" t="n"/>
      <c r="U10" s="52" t="n"/>
      <c r="V10" s="73" t="n"/>
      <c r="W10" s="73" t="n"/>
      <c r="X10" s="73" t="n"/>
      <c r="Y10" s="73" t="n"/>
      <c r="Z10" s="73" t="n"/>
      <c r="AA10" s="73" t="n"/>
      <c r="AB10" s="73" t="n"/>
      <c r="AC10" s="73" t="n"/>
      <c r="AD10" s="73" t="n"/>
      <c r="AE10" s="73" t="n"/>
      <c r="AF10" s="73" t="n"/>
      <c r="AG10" s="73" t="n"/>
      <c r="AH10" s="73" t="n"/>
      <c r="AI10" s="73" t="n"/>
      <c r="AJ10" s="221" t="n"/>
      <c r="AK10" s="140" t="n"/>
      <c r="AL10" s="151" t="n"/>
      <c r="AM10" s="148" t="n"/>
      <c r="AN10" s="149" t="n"/>
      <c r="AO10" s="154" t="n"/>
      <c r="AP10" s="154" t="n"/>
    </row>
    <row r="11" ht="15.75" customHeight="1" s="206">
      <c r="A11" s="20" t="n">
        <v>5</v>
      </c>
      <c r="B11" s="36" t="inlineStr">
        <is>
          <t>陈梓野</t>
        </is>
      </c>
      <c r="C11" s="47" t="inlineStr">
        <is>
          <t>高级调茶师</t>
        </is>
      </c>
      <c r="D11" s="23" t="inlineStr">
        <is>
          <t>上班</t>
        </is>
      </c>
      <c r="E11" s="48" t="n"/>
      <c r="F11" s="24" t="n"/>
      <c r="G11" s="24" t="n"/>
      <c r="H11" s="24" t="n"/>
      <c r="I11" s="24" t="n"/>
      <c r="J11" s="25" t="n"/>
      <c r="K11" s="25" t="n"/>
      <c r="L11" s="25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134" t="n"/>
      <c r="AA11" s="24" t="n"/>
      <c r="AB11" s="24" t="n"/>
      <c r="AC11" s="24" t="n"/>
      <c r="AD11" s="24" t="n"/>
      <c r="AE11" s="24" t="n"/>
      <c r="AF11" s="24" t="n"/>
      <c r="AG11" s="24" t="n"/>
      <c r="AH11" s="24" t="n"/>
      <c r="AI11" s="24" t="n"/>
      <c r="AJ11" s="143">
        <f>SUM(E12:AI12)-SUM(E11:AI11)</f>
        <v/>
      </c>
      <c r="AK11" s="140" t="n"/>
      <c r="AL11" s="151" t="n"/>
      <c r="AM11" s="148" t="n"/>
      <c r="AN11" s="152" t="n"/>
    </row>
    <row r="12" ht="15.75" customHeight="1" s="206">
      <c r="A12" s="218" t="n"/>
      <c r="B12" s="219" t="n"/>
      <c r="C12" s="220" t="n"/>
      <c r="D12" s="23" t="inlineStr">
        <is>
          <t>下班</t>
        </is>
      </c>
      <c r="E12" s="25" t="n"/>
      <c r="F12" s="24" t="n"/>
      <c r="G12" s="24" t="n"/>
      <c r="H12" s="24" t="n"/>
      <c r="I12" s="24" t="n"/>
      <c r="J12" s="25" t="n"/>
      <c r="K12" s="25" t="n"/>
      <c r="L12" s="25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134" t="n"/>
      <c r="AA12" s="24" t="n"/>
      <c r="AB12" s="24" t="n"/>
      <c r="AC12" s="24" t="n"/>
      <c r="AD12" s="24" t="n"/>
      <c r="AE12" s="24" t="n"/>
      <c r="AF12" s="24" t="n"/>
      <c r="AG12" s="24" t="n"/>
      <c r="AH12" s="24" t="n"/>
      <c r="AI12" s="24" t="n"/>
      <c r="AJ12" s="221" t="n"/>
      <c r="AK12" s="140" t="n"/>
      <c r="AL12" s="151" t="n"/>
      <c r="AM12" s="148" t="n"/>
      <c r="AN12" s="149" t="n"/>
      <c r="AO12" s="166" t="n"/>
      <c r="AP12" s="154" t="n"/>
    </row>
    <row r="13" ht="15.75" customHeight="1" s="206">
      <c r="A13" s="26" t="n">
        <v>6</v>
      </c>
      <c r="B13" s="50" t="inlineStr">
        <is>
          <t>陈旻才</t>
        </is>
      </c>
      <c r="C13" s="33" t="inlineStr">
        <is>
          <t>资深调茶师</t>
        </is>
      </c>
      <c r="D13" s="44" t="inlineStr">
        <is>
          <t>上班</t>
        </is>
      </c>
      <c r="E13" s="52" t="n"/>
      <c r="F13" s="52" t="n"/>
      <c r="G13" s="52" t="n"/>
      <c r="H13" s="52" t="n"/>
      <c r="I13" s="52" t="n"/>
      <c r="J13" s="59" t="n"/>
      <c r="K13" s="59" t="n"/>
      <c r="L13" s="59" t="n"/>
      <c r="M13" s="59" t="n"/>
      <c r="N13" s="122" t="n"/>
      <c r="O13" s="59" t="n"/>
      <c r="P13" s="59" t="n"/>
      <c r="Q13" s="52" t="n"/>
      <c r="R13" s="52" t="n"/>
      <c r="S13" s="52" t="n"/>
      <c r="T13" s="129" t="n"/>
      <c r="U13" s="73" t="n"/>
      <c r="V13" s="73" t="n"/>
      <c r="W13" s="73" t="n"/>
      <c r="X13" s="73" t="n"/>
      <c r="Y13" s="130" t="n"/>
      <c r="Z13" s="135" t="n"/>
      <c r="AA13" s="73" t="n"/>
      <c r="AB13" s="136" t="n"/>
      <c r="AC13" s="136" t="n"/>
      <c r="AD13" s="73" t="n"/>
      <c r="AE13" s="73" t="n"/>
      <c r="AF13" s="73" t="n"/>
      <c r="AG13" s="73" t="n"/>
      <c r="AH13" s="73" t="n"/>
      <c r="AI13" s="73" t="n"/>
      <c r="AJ13" s="143">
        <f>SUM(E14:AI14)-SUM(E13:AI13)</f>
        <v/>
      </c>
      <c r="AK13" s="140" t="n"/>
      <c r="AL13" s="151" t="n"/>
      <c r="AM13" s="148" t="n"/>
      <c r="AN13" s="152" t="n"/>
      <c r="AO13" s="154" t="n"/>
    </row>
    <row r="14" ht="15.75" customHeight="1" s="206">
      <c r="A14" s="218" t="n"/>
      <c r="B14" s="219" t="n"/>
      <c r="C14" s="220" t="n"/>
      <c r="D14" s="44" t="inlineStr">
        <is>
          <t>下班</t>
        </is>
      </c>
      <c r="E14" s="52" t="n"/>
      <c r="F14" s="52" t="n"/>
      <c r="G14" s="52" t="n"/>
      <c r="H14" s="52" t="n"/>
      <c r="I14" s="52" t="n"/>
      <c r="J14" s="61" t="n"/>
      <c r="K14" s="61" t="n"/>
      <c r="L14" s="61" t="n"/>
      <c r="M14" s="61" t="n"/>
      <c r="N14" s="123" t="n"/>
      <c r="O14" s="59" t="n"/>
      <c r="P14" s="61" t="n"/>
      <c r="Q14" s="52" t="n"/>
      <c r="R14" s="52" t="n"/>
      <c r="S14" s="52" t="n"/>
      <c r="T14" s="129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E14" s="73" t="n"/>
      <c r="AF14" s="73" t="n"/>
      <c r="AG14" s="73" t="n"/>
      <c r="AH14" s="73" t="n"/>
      <c r="AI14" s="73" t="n"/>
      <c r="AJ14" s="221" t="n"/>
      <c r="AK14" s="140" t="n"/>
      <c r="AL14" s="151" t="n"/>
      <c r="AM14" s="148" t="n"/>
      <c r="AN14" s="149" t="n"/>
      <c r="AO14" s="166" t="n"/>
      <c r="AP14" s="154" t="n"/>
      <c r="AQ14" s="154" t="n"/>
      <c r="AR14" s="154" t="n"/>
    </row>
    <row r="15" ht="15.75" customHeight="1" s="206">
      <c r="A15" s="20" t="n">
        <v>7</v>
      </c>
      <c r="B15" s="55" t="inlineStr">
        <is>
          <t>吴洁怡</t>
        </is>
      </c>
      <c r="C15" s="40" t="inlineStr">
        <is>
          <t>资深调茶师</t>
        </is>
      </c>
      <c r="D15" s="23" t="inlineStr">
        <is>
          <t>上班</t>
        </is>
      </c>
      <c r="E15" s="24" t="n"/>
      <c r="F15" s="24" t="n"/>
      <c r="G15" s="56" t="n"/>
      <c r="H15" s="24" t="n"/>
      <c r="I15" s="24" t="n"/>
      <c r="J15" s="24" t="n"/>
      <c r="K15" s="24" t="n"/>
      <c r="L15" s="24" t="n"/>
      <c r="M15" s="25" t="n"/>
      <c r="N15" s="25" t="n"/>
      <c r="O15" s="25" t="n"/>
      <c r="P15" s="25" t="n"/>
      <c r="Q15" s="25" t="n"/>
      <c r="R15" s="25" t="n"/>
      <c r="S15" s="25" t="n"/>
      <c r="T15" s="125" t="n"/>
      <c r="U15" s="125" t="n"/>
      <c r="V15" s="24" t="n"/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143">
        <f>SUM(E16:AI16)-SUM(E15:AI15)</f>
        <v/>
      </c>
      <c r="AK15" s="140" t="n"/>
      <c r="AL15" s="151" t="n"/>
      <c r="AM15" s="148" t="n"/>
      <c r="AN15" s="152" t="n"/>
    </row>
    <row r="16" ht="15.75" customHeight="1" s="206">
      <c r="A16" s="218" t="n"/>
      <c r="B16" s="219" t="n"/>
      <c r="C16" s="220" t="n"/>
      <c r="D16" s="23" t="inlineStr">
        <is>
          <t>下班</t>
        </is>
      </c>
      <c r="E16" s="24" t="n"/>
      <c r="F16" s="24" t="n"/>
      <c r="G16" s="56" t="n"/>
      <c r="H16" s="24" t="n"/>
      <c r="I16" s="24" t="n"/>
      <c r="J16" s="24" t="n"/>
      <c r="K16" s="24" t="n"/>
      <c r="L16" s="24" t="n"/>
      <c r="M16" s="25" t="n"/>
      <c r="N16" s="25" t="n"/>
      <c r="O16" s="25" t="n"/>
      <c r="P16" s="25" t="n"/>
      <c r="Q16" s="25" t="n"/>
      <c r="R16" s="25" t="n"/>
      <c r="S16" s="25" t="n"/>
      <c r="T16" s="125" t="n"/>
      <c r="U16" s="125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21" t="n"/>
      <c r="AK16" s="140" t="n"/>
      <c r="AL16" s="151" t="n"/>
      <c r="AM16" s="148" t="n"/>
      <c r="AN16" s="148" t="n"/>
      <c r="AO16" s="166" t="n"/>
      <c r="AP16" s="154" t="n"/>
      <c r="AQ16" s="154" t="n"/>
    </row>
    <row r="17" ht="15" customHeight="1" s="206">
      <c r="A17" s="26" t="n">
        <v>8</v>
      </c>
      <c r="B17" s="58" t="inlineStr">
        <is>
          <t>梁继鹏</t>
        </is>
      </c>
      <c r="C17" s="33" t="inlineStr">
        <is>
          <t>全职</t>
        </is>
      </c>
      <c r="D17" s="44" t="inlineStr">
        <is>
          <t>上班</t>
        </is>
      </c>
      <c r="E17" s="31" t="n"/>
      <c r="F17" s="31" t="n"/>
      <c r="G17" s="59" t="n"/>
      <c r="H17" s="31" t="n"/>
      <c r="I17" s="59" t="n"/>
      <c r="J17" s="118" t="n"/>
      <c r="K17" s="118" t="n"/>
      <c r="L17" s="118" t="n"/>
      <c r="M17" s="31" t="n"/>
      <c r="N17" s="31" t="n"/>
      <c r="O17" s="31" t="n"/>
      <c r="P17" s="31" t="n"/>
      <c r="Q17" s="73" t="n"/>
      <c r="R17" s="73" t="n"/>
      <c r="S17" s="73" t="n"/>
      <c r="T17" s="130" t="n"/>
      <c r="U17" s="73" t="n"/>
      <c r="V17" s="52" t="n"/>
      <c r="W17" s="131" t="n"/>
      <c r="X17" s="52" t="n"/>
      <c r="Y17" s="52" t="n"/>
      <c r="Z17" s="132" t="n"/>
      <c r="AA17" s="132" t="n"/>
      <c r="AB17" s="52" t="n"/>
      <c r="AC17" s="52" t="n"/>
      <c r="AD17" s="52" t="n"/>
      <c r="AE17" s="52" t="n"/>
      <c r="AF17" s="52" t="n"/>
      <c r="AG17" s="153" t="n"/>
      <c r="AH17" s="73" t="n"/>
      <c r="AI17" s="73" t="n"/>
      <c r="AJ17" s="143">
        <f>SUM(E18:AI18)-SUM(E17:AI17)</f>
        <v/>
      </c>
      <c r="AK17" s="140" t="n"/>
      <c r="AL17" s="151" t="n"/>
      <c r="AM17" s="148" t="n"/>
      <c r="AN17" s="152" t="n"/>
    </row>
    <row r="18" ht="15.75" customHeight="1" s="206">
      <c r="A18" s="218" t="n"/>
      <c r="B18" s="219" t="n"/>
      <c r="C18" s="220" t="n"/>
      <c r="D18" s="44" t="inlineStr">
        <is>
          <t>下班</t>
        </is>
      </c>
      <c r="E18" s="35" t="n"/>
      <c r="F18" s="35" t="n"/>
      <c r="G18" s="61" t="n"/>
      <c r="H18" s="35" t="n"/>
      <c r="I18" s="61" t="n"/>
      <c r="J18" s="124" t="n"/>
      <c r="K18" s="124" t="n"/>
      <c r="L18" s="124" t="n"/>
      <c r="M18" s="35" t="n"/>
      <c r="N18" s="35" t="n"/>
      <c r="O18" s="35" t="n"/>
      <c r="P18" s="35" t="n"/>
      <c r="Q18" s="73" t="n"/>
      <c r="R18" s="73" t="n"/>
      <c r="S18" s="73" t="n"/>
      <c r="T18" s="130" t="n"/>
      <c r="U18" s="73" t="n"/>
      <c r="V18" s="52" t="n"/>
      <c r="W18" s="52" t="n"/>
      <c r="X18" s="52" t="n"/>
      <c r="Y18" s="52" t="n"/>
      <c r="Z18" s="137" t="n"/>
      <c r="AA18" s="132" t="n"/>
      <c r="AB18" s="52" t="n"/>
      <c r="AC18" s="52" t="n"/>
      <c r="AD18" s="52" t="n"/>
      <c r="AE18" s="83" t="n"/>
      <c r="AF18" s="52" t="n"/>
      <c r="AG18" s="132" t="n"/>
      <c r="AH18" s="73" t="n"/>
      <c r="AI18" s="73" t="n"/>
      <c r="AJ18" s="221" t="n"/>
      <c r="AK18" s="140" t="n"/>
      <c r="AL18" s="151" t="n"/>
      <c r="AM18" s="148" t="n"/>
      <c r="AN18" s="151" t="n"/>
      <c r="AO18" s="154" t="n"/>
    </row>
    <row r="19" ht="15.75" customHeight="1" s="206">
      <c r="A19" s="20" t="n">
        <v>9</v>
      </c>
      <c r="B19" s="55" t="inlineStr">
        <is>
          <t>杜嘉岚</t>
        </is>
      </c>
      <c r="C19" s="40" t="inlineStr">
        <is>
          <t>全职</t>
        </is>
      </c>
      <c r="D19" s="23" t="inlineStr">
        <is>
          <t>上班</t>
        </is>
      </c>
      <c r="E19" s="24" t="n"/>
      <c r="F19" s="62" t="n"/>
      <c r="G19" s="24" t="n"/>
      <c r="H19" s="63" t="n"/>
      <c r="I19" s="24" t="n"/>
      <c r="J19" s="24" t="n"/>
      <c r="K19" s="24" t="n"/>
      <c r="L19" s="24" t="n"/>
      <c r="M19" s="24" t="n"/>
      <c r="N19" s="24" t="n"/>
      <c r="O19" s="24" t="n"/>
      <c r="P19" s="125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143">
        <f>SUM(E20:AI20)-SUM(E19:AI19)</f>
        <v/>
      </c>
      <c r="AK19" s="140" t="n"/>
      <c r="AL19" s="154" t="n"/>
      <c r="AM19" s="148" t="n"/>
      <c r="AN19" s="152" t="n"/>
    </row>
    <row r="20" ht="15.75" customHeight="1" s="206">
      <c r="A20" s="218" t="n"/>
      <c r="B20" s="219" t="n"/>
      <c r="C20" s="220" t="n"/>
      <c r="D20" s="23" t="inlineStr">
        <is>
          <t>下班</t>
        </is>
      </c>
      <c r="E20" s="24" t="n"/>
      <c r="F20" s="56" t="n"/>
      <c r="G20" s="24" t="n"/>
      <c r="H20" s="64" t="n"/>
      <c r="I20" s="24" t="n"/>
      <c r="J20" s="24" t="n"/>
      <c r="K20" s="24" t="n"/>
      <c r="L20" s="24" t="n"/>
      <c r="M20" s="24" t="n"/>
      <c r="N20" s="24" t="n"/>
      <c r="O20" s="24" t="n"/>
      <c r="P20" s="125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21" t="n"/>
      <c r="AK20" s="140" t="n"/>
      <c r="AL20" s="165" t="n"/>
      <c r="AM20" s="148" t="n"/>
      <c r="AN20" s="149" t="n"/>
      <c r="AO20" s="154" t="n"/>
    </row>
    <row r="21" ht="15.75" customHeight="1" s="206">
      <c r="A21" s="26" t="n">
        <v>10</v>
      </c>
      <c r="B21" s="58" t="inlineStr">
        <is>
          <t>余锶楷</t>
        </is>
      </c>
      <c r="C21" s="66" t="inlineStr">
        <is>
          <t>兼职18</t>
        </is>
      </c>
      <c r="D21" s="67" t="inlineStr">
        <is>
          <t>上班</t>
        </is>
      </c>
      <c r="E21" s="52" t="n"/>
      <c r="F21" s="52" t="n"/>
      <c r="G21" s="68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132" t="n"/>
      <c r="R21" s="52" t="n"/>
      <c r="S21" s="52" t="n"/>
      <c r="T21" s="52" t="n"/>
      <c r="U21" s="52" t="n"/>
      <c r="V21" s="52" t="n"/>
      <c r="W21" s="52" t="n"/>
      <c r="X21" s="52" t="n"/>
      <c r="Y21" s="130" t="n"/>
      <c r="Z21" s="73" t="n"/>
      <c r="AA21" s="73" t="n"/>
      <c r="AB21" s="136" t="n"/>
      <c r="AC21" s="136" t="n"/>
      <c r="AD21" s="73" t="n"/>
      <c r="AE21" s="73" t="n"/>
      <c r="AF21" s="73" t="n"/>
      <c r="AG21" s="73" t="n"/>
      <c r="AH21" s="73" t="n"/>
      <c r="AI21" s="73" t="n"/>
      <c r="AJ21" s="143">
        <f>SUM(E22:AI22)-SUM(E21:AI21)</f>
        <v/>
      </c>
      <c r="AK21" s="140" t="n"/>
      <c r="AL21" s="3" t="n"/>
      <c r="AM21" s="149" t="n"/>
      <c r="AN21" s="152" t="n"/>
    </row>
    <row r="22" ht="15.75" customHeight="1" s="206">
      <c r="A22" s="218" t="n"/>
      <c r="B22" s="219" t="n"/>
      <c r="C22" s="220" t="n"/>
      <c r="D22" s="67" t="inlineStr">
        <is>
          <t>下班</t>
        </is>
      </c>
      <c r="E22" s="52" t="n"/>
      <c r="F22" s="52" t="n"/>
      <c r="G22" s="68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132" t="n"/>
      <c r="R22" s="52" t="n"/>
      <c r="S22" s="52" t="n"/>
      <c r="T22" s="52" t="n"/>
      <c r="U22" s="52" t="n"/>
      <c r="V22" s="52" t="n"/>
      <c r="W22" s="52" t="n"/>
      <c r="X22" s="52" t="n"/>
      <c r="Y22" s="130" t="n"/>
      <c r="Z22" s="73" t="n"/>
      <c r="AA22" s="73" t="n"/>
      <c r="AB22" s="73" t="n"/>
      <c r="AC22" s="73" t="n"/>
      <c r="AD22" s="73" t="n"/>
      <c r="AF22" s="73" t="n"/>
      <c r="AG22" s="73" t="n"/>
      <c r="AH22" s="73" t="n"/>
      <c r="AI22" s="73" t="n"/>
      <c r="AJ22" s="221" t="n"/>
      <c r="AK22" s="140" t="n"/>
      <c r="AL22" s="151" t="n"/>
      <c r="AM22" s="151" t="n"/>
      <c r="AN22" s="149" t="n"/>
    </row>
    <row r="23" ht="15.75" customHeight="1" s="206">
      <c r="A23" s="20" t="n">
        <v>11</v>
      </c>
      <c r="B23" s="70" t="inlineStr">
        <is>
          <t>陈佳博</t>
        </is>
      </c>
      <c r="C23" s="71" t="inlineStr">
        <is>
          <t>兼职19</t>
        </is>
      </c>
      <c r="D23" s="23" t="inlineStr">
        <is>
          <t>上班</t>
        </is>
      </c>
      <c r="E23" s="24" t="n"/>
      <c r="F23" s="24" t="n"/>
      <c r="G23" s="56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143">
        <f>SUM(E24:AI24)-SUM(E23:AI23)</f>
        <v/>
      </c>
      <c r="AK23" s="140" t="n"/>
      <c r="AL23" s="151" t="n"/>
      <c r="AM23" s="149" t="n"/>
      <c r="AN23" s="152" t="n"/>
    </row>
    <row r="24" ht="15.75" customHeight="1" s="206">
      <c r="A24" s="218" t="n"/>
      <c r="B24" s="219" t="n"/>
      <c r="C24" s="220" t="n"/>
      <c r="D24" s="23" t="inlineStr">
        <is>
          <t>下班</t>
        </is>
      </c>
      <c r="E24" s="24" t="n"/>
      <c r="F24" s="24" t="n"/>
      <c r="G24" s="56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21" t="n"/>
      <c r="AK24" s="140" t="n"/>
      <c r="AL24" s="151" t="n"/>
      <c r="AM24" s="151" t="n"/>
      <c r="AN24" s="152" t="n"/>
    </row>
    <row r="25" ht="15.75" customHeight="1" s="206">
      <c r="A25" s="26" t="n">
        <v>12</v>
      </c>
      <c r="B25" s="58" t="inlineStr">
        <is>
          <t>俊凯</t>
        </is>
      </c>
      <c r="C25" s="66" t="inlineStr">
        <is>
          <t>学院</t>
        </is>
      </c>
      <c r="D25" s="44" t="inlineStr">
        <is>
          <t>上班</t>
        </is>
      </c>
      <c r="E25" s="73" t="n"/>
      <c r="F25" s="52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52" t="n"/>
      <c r="R25" s="52" t="n"/>
      <c r="S25" s="52" t="n"/>
      <c r="T25" s="52" t="n"/>
      <c r="U25" s="52" t="n"/>
      <c r="V25" s="81" t="n"/>
      <c r="W25" s="133" t="n"/>
      <c r="X25" s="52" t="n"/>
      <c r="Y25" s="52" t="n"/>
      <c r="Z25" s="52" t="n"/>
      <c r="AA25" s="52" t="n"/>
      <c r="AB25" s="52" t="n"/>
      <c r="AC25" s="132" t="n"/>
      <c r="AD25" s="52" t="n"/>
      <c r="AE25" s="52" t="n"/>
      <c r="AF25" s="52" t="n"/>
      <c r="AG25" s="156" t="n"/>
      <c r="AH25" s="73" t="n"/>
      <c r="AI25" s="73" t="n"/>
      <c r="AJ25" s="143">
        <f>SUM(E26:AI26)-SUM(E25:AI25)</f>
        <v/>
      </c>
      <c r="AK25" s="140" t="n"/>
      <c r="AL25" s="151" t="n"/>
      <c r="AM25" s="217" t="n"/>
      <c r="AN25" s="152" t="n"/>
    </row>
    <row r="26" ht="15.75" customHeight="1" s="206">
      <c r="A26" s="218" t="n"/>
      <c r="B26" s="219" t="n"/>
      <c r="C26" s="220" t="n"/>
      <c r="D26" s="44" t="inlineStr">
        <is>
          <t>下班</t>
        </is>
      </c>
      <c r="E26" s="35" t="n"/>
      <c r="F26" s="61" t="n"/>
      <c r="G26" s="35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52" t="n"/>
      <c r="R26" s="52" t="n"/>
      <c r="S26" s="52" t="n"/>
      <c r="T26" s="52" t="n"/>
      <c r="U26" s="52" t="n"/>
      <c r="V26" s="81" t="n"/>
      <c r="W26" s="133" t="n"/>
      <c r="X26" s="52" t="n"/>
      <c r="Y26" s="52" t="n"/>
      <c r="Z26" s="52" t="n"/>
      <c r="AA26" s="52" t="n"/>
      <c r="AB26" s="52" t="n"/>
      <c r="AC26" s="132" t="n"/>
      <c r="AD26" s="52" t="n"/>
      <c r="AE26" s="52" t="n"/>
      <c r="AF26" s="52" t="n"/>
      <c r="AG26" s="73" t="n"/>
      <c r="AH26" s="73" t="n"/>
      <c r="AI26" s="73" t="n"/>
      <c r="AJ26" s="221" t="n"/>
      <c r="AK26" s="140" t="n"/>
      <c r="AL26" s="151" t="n"/>
      <c r="AM26" s="222" t="n"/>
      <c r="AN26" s="152" t="n"/>
    </row>
    <row r="27" ht="15.75" customHeight="1" s="206">
      <c r="A27" s="26" t="n">
        <v>13</v>
      </c>
      <c r="B27" s="21" t="n"/>
      <c r="C27" s="40" t="n"/>
      <c r="D27" s="23" t="inlineStr">
        <is>
          <t>上班</t>
        </is>
      </c>
      <c r="E27" s="75" t="n"/>
      <c r="F27" s="75" t="n"/>
      <c r="G27" s="75" t="n"/>
      <c r="H27" s="48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  <c r="AD27" s="24" t="n"/>
      <c r="AE27" s="24" t="n"/>
      <c r="AF27" s="24" t="n"/>
      <c r="AG27" s="24" t="n"/>
      <c r="AH27" s="24" t="n"/>
      <c r="AI27" s="24" t="n"/>
      <c r="AJ27" s="143">
        <f>SUM(E28:AI28)-SUM(E27:AI27)</f>
        <v/>
      </c>
      <c r="AK27" s="140" t="n"/>
      <c r="AL27" s="151" t="n"/>
      <c r="AM27" s="149" t="n"/>
      <c r="AN27" s="149" t="n"/>
    </row>
    <row r="28" ht="15.75" customHeight="1" s="206">
      <c r="A28" s="218" t="n"/>
      <c r="B28" s="219" t="n"/>
      <c r="C28" s="220" t="n"/>
      <c r="D28" s="77" t="inlineStr">
        <is>
          <t>下班</t>
        </is>
      </c>
      <c r="E28" s="25" t="n"/>
      <c r="F28" s="78" t="n"/>
      <c r="G28" s="78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21" t="n"/>
      <c r="AK28" s="140" t="n"/>
      <c r="AL28" s="151" t="n"/>
      <c r="AM28" s="151" t="n"/>
      <c r="AN28" s="149" t="n"/>
    </row>
    <row r="29" ht="15.75" customHeight="1" s="206">
      <c r="A29" s="26" t="n">
        <v>14</v>
      </c>
      <c r="B29" s="58" t="n"/>
      <c r="C29" s="33" t="n"/>
      <c r="D29" s="79" t="inlineStr">
        <is>
          <t>上班</t>
        </is>
      </c>
      <c r="E29" s="80" t="n"/>
      <c r="F29" s="81" t="n"/>
      <c r="G29" s="81" t="n"/>
      <c r="H29" s="81" t="n"/>
      <c r="I29" s="83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143">
        <f>SUM(E30:AI30)-SUM(E29:AI29)</f>
        <v/>
      </c>
      <c r="AK29" s="140" t="n"/>
      <c r="AL29" s="151" t="n"/>
      <c r="AM29" s="149" t="n"/>
      <c r="AN29" s="149" t="n"/>
    </row>
    <row r="30" ht="15.75" customHeight="1" s="206">
      <c r="A30" s="218" t="n"/>
      <c r="B30" s="219" t="n"/>
      <c r="C30" s="220" t="n"/>
      <c r="D30" s="82" t="inlineStr">
        <is>
          <t>下班</t>
        </is>
      </c>
      <c r="E30" s="83" t="n"/>
      <c r="F30" s="52" t="n"/>
      <c r="G30" s="52" t="n"/>
      <c r="H30" s="52" t="n"/>
      <c r="I30" s="126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  <c r="AG30" s="52" t="n"/>
      <c r="AH30" s="52" t="n"/>
      <c r="AI30" s="52" t="n"/>
      <c r="AJ30" s="221" t="n"/>
      <c r="AK30" s="140" t="n"/>
      <c r="AL30" s="151" t="n"/>
      <c r="AM30" s="151" t="n"/>
      <c r="AN30" s="149" t="n"/>
    </row>
    <row r="31" ht="15.75" customHeight="1" s="206">
      <c r="A31" s="26" t="n">
        <v>15</v>
      </c>
      <c r="B31" s="21" t="n"/>
      <c r="C31" s="223" t="n"/>
      <c r="D31" s="23" t="inlineStr">
        <is>
          <t>上班</t>
        </is>
      </c>
      <c r="E31" s="75" t="n"/>
      <c r="F31" s="75" t="n"/>
      <c r="G31" s="75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143">
        <f>SUM(E32:AI32)-SUM(E31:AI31)</f>
        <v/>
      </c>
      <c r="AK31" s="140" t="n"/>
      <c r="AL31" s="224" t="n"/>
      <c r="AM31" s="149" t="n"/>
      <c r="AN31" s="149" t="n"/>
    </row>
    <row r="32" ht="15.75" customHeight="1" s="206">
      <c r="A32" s="218" t="n"/>
      <c r="B32" s="219" t="n"/>
      <c r="C32" s="220" t="n"/>
      <c r="D32" s="77" t="inlineStr">
        <is>
          <t>下班</t>
        </is>
      </c>
      <c r="E32" s="75" t="n"/>
      <c r="F32" s="75" t="n"/>
      <c r="G32" s="75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21" t="n"/>
      <c r="AK32" s="140" t="n"/>
      <c r="AL32" s="151" t="n"/>
      <c r="AM32" s="151" t="n"/>
      <c r="AN32" s="149" t="n"/>
    </row>
    <row r="33" ht="15.75" customHeight="1" s="206">
      <c r="A33" s="20" t="n"/>
      <c r="B33" s="225" t="n"/>
      <c r="C33" s="29" t="n"/>
      <c r="D33" s="88" t="inlineStr">
        <is>
          <t>上班</t>
        </is>
      </c>
      <c r="E33" s="89" t="n"/>
      <c r="F33" s="89" t="n"/>
      <c r="G33" s="89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  <c r="AG33" s="52" t="n"/>
      <c r="AH33" s="52" t="n"/>
      <c r="AI33" s="52" t="n"/>
      <c r="AJ33" s="143" t="n"/>
      <c r="AK33" s="140" t="n"/>
      <c r="AL33" s="224" t="n"/>
      <c r="AM33" s="149" t="n"/>
      <c r="AN33" s="149" t="n"/>
    </row>
    <row r="34" ht="15.75" customHeight="1" s="206">
      <c r="A34" s="20" t="n"/>
      <c r="B34" s="219" t="n"/>
      <c r="C34" s="220" t="n"/>
      <c r="D34" s="88" t="inlineStr">
        <is>
          <t>下班</t>
        </is>
      </c>
      <c r="E34" s="89" t="n"/>
      <c r="F34" s="89" t="n"/>
      <c r="G34" s="89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  <c r="AG34" s="52" t="n"/>
      <c r="AH34" s="52" t="n"/>
      <c r="AI34" s="52" t="n"/>
      <c r="AJ34" s="221" t="n"/>
      <c r="AK34" s="140" t="n"/>
      <c r="AL34" s="151" t="n"/>
      <c r="AM34" s="151" t="n"/>
      <c r="AN34" s="149" t="n"/>
    </row>
    <row r="35" ht="15.75" customHeight="1" s="206">
      <c r="A35" s="20" t="n"/>
      <c r="B35" s="98" t="n"/>
      <c r="C35" s="93" t="n"/>
      <c r="D35" s="23" t="n"/>
      <c r="E35" s="75" t="n"/>
      <c r="F35" s="75" t="n"/>
      <c r="G35" s="75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143" t="n"/>
      <c r="AK35" s="140" t="n"/>
      <c r="AL35" s="224" t="n"/>
      <c r="AM35" s="149" t="n"/>
      <c r="AN35" s="149" t="n"/>
    </row>
    <row r="36" ht="15.75" customHeight="1" s="206">
      <c r="A36" s="20" t="n"/>
      <c r="B36" s="226" t="n"/>
      <c r="C36" s="227" t="n"/>
      <c r="D36" s="23" t="n"/>
      <c r="E36" s="75" t="n"/>
      <c r="F36" s="75" t="n"/>
      <c r="G36" s="75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21" t="n"/>
      <c r="AK36" s="140" t="n"/>
      <c r="AL36" s="151" t="n"/>
      <c r="AM36" s="151" t="n"/>
      <c r="AN36" s="149" t="n"/>
    </row>
    <row r="37" ht="15.75" customHeight="1" s="206">
      <c r="A37" s="20" t="n"/>
      <c r="B37" s="228" t="n"/>
      <c r="C37" s="96" t="n"/>
      <c r="D37" s="67" t="n"/>
      <c r="E37" s="89" t="n"/>
      <c r="F37" s="89" t="n"/>
      <c r="G37" s="89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  <c r="AG37" s="52" t="n"/>
      <c r="AH37" s="52" t="n"/>
      <c r="AI37" s="52" t="n"/>
      <c r="AJ37" s="143" t="n"/>
      <c r="AK37" s="140" t="n"/>
      <c r="AL37" s="224" t="n"/>
      <c r="AM37" s="149" t="n"/>
      <c r="AN37" s="149" t="n"/>
    </row>
    <row r="38" ht="15.75" customHeight="1" s="206">
      <c r="A38" s="20" t="n"/>
      <c r="B38" s="219" t="n"/>
      <c r="C38" s="220" t="n"/>
      <c r="D38" s="67" t="n"/>
      <c r="E38" s="89" t="n"/>
      <c r="F38" s="89" t="n"/>
      <c r="G38" s="89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  <c r="AG38" s="52" t="n"/>
      <c r="AH38" s="52" t="n"/>
      <c r="AI38" s="52" t="n"/>
      <c r="AJ38" s="221" t="n"/>
      <c r="AK38" s="140" t="n"/>
      <c r="AL38" s="159" t="n"/>
      <c r="AM38" s="151" t="n"/>
      <c r="AN38" s="149" t="n"/>
    </row>
    <row r="39" ht="15.75" customHeight="1" s="206">
      <c r="A39" s="20" t="n"/>
      <c r="B39" s="98" t="n"/>
      <c r="C39" s="93" t="n"/>
      <c r="D39" s="23" t="n"/>
      <c r="E39" s="75" t="n"/>
      <c r="F39" s="75" t="n"/>
      <c r="G39" s="75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143" t="n"/>
      <c r="AK39" s="140" t="n"/>
      <c r="AM39" s="149" t="n"/>
      <c r="AN39" s="149" t="n"/>
    </row>
    <row r="40" ht="15.75" customHeight="1" s="206">
      <c r="A40" s="20" t="n"/>
      <c r="B40" s="226" t="n"/>
      <c r="C40" s="227" t="n"/>
      <c r="D40" s="23" t="n"/>
      <c r="E40" s="75" t="n"/>
      <c r="F40" s="75" t="n"/>
      <c r="G40" s="75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21" t="n"/>
      <c r="AK40" s="140" t="n"/>
      <c r="AL40" s="151" t="n"/>
    </row>
    <row r="41" ht="15.75" customHeight="1" s="206">
      <c r="A41" s="20" t="n"/>
      <c r="B41" s="98" t="n"/>
      <c r="C41" s="99" t="n"/>
      <c r="D41" s="23" t="n"/>
      <c r="E41" s="75" t="n"/>
      <c r="F41" s="75" t="n"/>
      <c r="G41" s="75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143" t="n"/>
      <c r="AK41" s="140" t="n"/>
    </row>
    <row r="42" ht="15.75" customHeight="1" s="206">
      <c r="A42" s="20" t="n"/>
      <c r="B42" s="98" t="n"/>
      <c r="C42" s="99" t="n"/>
      <c r="D42" s="23" t="n"/>
      <c r="E42" s="75" t="n"/>
      <c r="F42" s="75" t="n"/>
      <c r="G42" s="75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21" t="n"/>
      <c r="AK42" s="140" t="n"/>
    </row>
    <row r="43" ht="15.75" customHeight="1" s="206">
      <c r="A43" s="20" t="n"/>
      <c r="B43" s="98" t="n"/>
      <c r="C43" s="99" t="n"/>
      <c r="D43" s="23" t="n"/>
      <c r="E43" s="75" t="n"/>
      <c r="F43" s="75" t="n"/>
      <c r="G43" s="75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143" t="n"/>
      <c r="AK43" s="140" t="n"/>
    </row>
    <row r="44" ht="15.75" customHeight="1" s="206">
      <c r="A44" s="20" t="n"/>
      <c r="B44" s="98" t="n"/>
      <c r="C44" s="93" t="n"/>
      <c r="D44" s="23" t="n"/>
      <c r="E44" s="75" t="n"/>
      <c r="F44" s="75" t="n"/>
      <c r="G44" s="75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21" t="n"/>
      <c r="AK44" s="140" t="n"/>
    </row>
    <row r="45" ht="15.75" customHeight="1" s="206">
      <c r="A45" s="20" t="n"/>
      <c r="B45" s="98" t="n"/>
      <c r="C45" s="93" t="n"/>
      <c r="D45" s="23" t="n"/>
      <c r="E45" s="75" t="n"/>
      <c r="F45" s="75" t="n"/>
      <c r="G45" s="75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143" t="n"/>
      <c r="AK45" s="140" t="n"/>
    </row>
    <row r="46" ht="15.75" customHeight="1" s="206">
      <c r="A46" s="20" t="n"/>
      <c r="B46" s="98" t="n"/>
      <c r="C46" s="93" t="n"/>
      <c r="D46" s="23" t="n"/>
      <c r="E46" s="75" t="n"/>
      <c r="F46" s="75" t="n"/>
      <c r="G46" s="75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21" t="n"/>
      <c r="AK46" s="140" t="n"/>
    </row>
    <row r="47" ht="15.75" customHeight="1" s="206">
      <c r="A47" s="20" t="n"/>
      <c r="B47" s="98" t="n"/>
      <c r="C47" s="93" t="n"/>
      <c r="D47" s="23" t="n"/>
      <c r="E47" s="75" t="n"/>
      <c r="F47" s="75" t="n"/>
      <c r="G47" s="75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143" t="n"/>
      <c r="AK47" s="140" t="n"/>
    </row>
    <row r="48" ht="15.75" customHeight="1" s="206">
      <c r="A48" s="20" t="n"/>
      <c r="B48" s="98" t="n"/>
      <c r="C48" s="100" t="n"/>
      <c r="D48" s="23" t="n"/>
      <c r="E48" s="75" t="n"/>
      <c r="F48" s="75" t="n"/>
      <c r="G48" s="75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21" t="n"/>
      <c r="AK48" s="140" t="n"/>
    </row>
    <row r="49" hidden="1" ht="24.95" customHeight="1" s="206">
      <c r="A49" s="20" t="n">
        <v>13</v>
      </c>
      <c r="B49" s="98" t="n"/>
      <c r="C49" s="229" t="inlineStr">
        <is>
          <t>资深调茶师</t>
        </is>
      </c>
      <c r="D49" s="23" t="inlineStr">
        <is>
          <t>上班</t>
        </is>
      </c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146" t="n"/>
      <c r="AK49" s="140" t="n"/>
      <c r="AM49" s="205">
        <f>COUNTIF(E26:AI49,8.5)</f>
        <v/>
      </c>
    </row>
    <row r="50" hidden="1" ht="12" customHeight="1" s="206">
      <c r="A50" s="218" t="n"/>
      <c r="B50" s="226" t="n"/>
      <c r="C50" s="230" t="n"/>
      <c r="D50" s="23" t="inlineStr">
        <is>
          <t>下班</t>
        </is>
      </c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160" t="n"/>
      <c r="AK50" s="140" t="n"/>
      <c r="AL50" s="204">
        <f>COUNTIF(E50:AI50,22)</f>
        <v/>
      </c>
    </row>
    <row r="51" hidden="1" ht="12" customHeight="1" s="206">
      <c r="A51" s="26" t="n">
        <v>14</v>
      </c>
      <c r="B51" s="104" t="n"/>
      <c r="C51" s="229" t="inlineStr">
        <is>
          <t>资深调茶师</t>
        </is>
      </c>
      <c r="D51" s="44" t="inlineStr">
        <is>
          <t>上班</t>
        </is>
      </c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3" t="n"/>
      <c r="AD51" s="73" t="n"/>
      <c r="AE51" s="73" t="n"/>
      <c r="AF51" s="73" t="n"/>
      <c r="AG51" s="73" t="n"/>
      <c r="AH51" s="73" t="n"/>
      <c r="AI51" s="73" t="n"/>
      <c r="AJ51" s="8" t="n"/>
      <c r="AK51" s="140" t="n"/>
    </row>
    <row r="52" hidden="1" ht="12" customHeight="1" s="206">
      <c r="A52" s="218" t="n"/>
      <c r="B52" s="226" t="n"/>
      <c r="C52" s="230" t="n"/>
      <c r="D52" s="44" t="inlineStr">
        <is>
          <t>下班</t>
        </is>
      </c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3" t="n"/>
      <c r="S52" s="73" t="n"/>
      <c r="T52" s="73" t="n"/>
      <c r="U52" s="73" t="n"/>
      <c r="V52" s="73" t="n"/>
      <c r="W52" s="73" t="n"/>
      <c r="X52" s="73" t="n"/>
      <c r="Y52" s="73" t="n"/>
      <c r="Z52" s="73" t="n"/>
      <c r="AA52" s="73" t="n"/>
      <c r="AB52" s="73" t="n"/>
      <c r="AC52" s="73" t="n"/>
      <c r="AD52" s="73" t="n"/>
      <c r="AE52" s="73" t="n"/>
      <c r="AF52" s="73" t="n"/>
      <c r="AG52" s="73" t="n"/>
      <c r="AH52" s="73" t="n"/>
      <c r="AI52" s="73" t="n"/>
      <c r="AJ52" s="161" t="n"/>
      <c r="AK52" s="140" t="n"/>
    </row>
    <row r="53" hidden="1" ht="12" customHeight="1" s="206">
      <c r="A53" s="20" t="n">
        <v>15</v>
      </c>
      <c r="B53" s="106" t="n"/>
      <c r="C53" s="231" t="inlineStr">
        <is>
          <t>初级调茶师</t>
        </is>
      </c>
      <c r="D53" s="23" t="inlineStr">
        <is>
          <t>上班</t>
        </is>
      </c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162" t="n"/>
      <c r="AJ53" s="146" t="n"/>
      <c r="AK53" s="140" t="n"/>
      <c r="AL53" s="204">
        <f>COUNTIF(E57:AI57,22.5)</f>
        <v/>
      </c>
    </row>
    <row r="54" hidden="1" ht="12" customHeight="1" s="206">
      <c r="A54" s="218" t="n"/>
      <c r="B54" s="226" t="n"/>
      <c r="C54" s="230" t="n"/>
      <c r="D54" s="23" t="inlineStr">
        <is>
          <t>下班</t>
        </is>
      </c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162" t="n"/>
      <c r="AJ54" s="146" t="n"/>
      <c r="AK54" s="140" t="n"/>
    </row>
    <row r="55" hidden="1" ht="12" customHeight="1" s="206">
      <c r="A55" s="20" t="n">
        <v>16</v>
      </c>
      <c r="B55" s="105" t="n"/>
      <c r="C55" s="231" t="inlineStr">
        <is>
          <t>初级调茶师</t>
        </is>
      </c>
      <c r="D55" s="44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3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3" t="n"/>
      <c r="AD55" s="73" t="n"/>
      <c r="AE55" s="73" t="n"/>
      <c r="AF55" s="73" t="n"/>
      <c r="AG55" s="73" t="n"/>
      <c r="AH55" s="73" t="n"/>
      <c r="AI55" s="163" t="n"/>
      <c r="AJ55" s="146" t="n"/>
      <c r="AK55" s="140" t="n"/>
      <c r="AL55" s="204">
        <f>COUNTIF(E59:AI59,22.5)</f>
        <v/>
      </c>
    </row>
    <row r="56" hidden="1" ht="12" customHeight="1" s="206">
      <c r="A56" s="218" t="n"/>
      <c r="B56" s="106" t="n"/>
      <c r="C56" s="230" t="n"/>
      <c r="D56" s="23" t="inlineStr">
        <is>
          <t>上班</t>
        </is>
      </c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162" t="n"/>
      <c r="AJ56" s="146" t="n"/>
      <c r="AK56" s="140" t="n"/>
    </row>
    <row r="57" hidden="1" ht="12" customHeight="1" s="206">
      <c r="A57" s="20" t="n">
        <v>17</v>
      </c>
      <c r="B57" s="226" t="n"/>
      <c r="C57" s="231" t="inlineStr">
        <is>
          <t>初级调茶师</t>
        </is>
      </c>
      <c r="D57" s="23" t="inlineStr">
        <is>
          <t>下班</t>
        </is>
      </c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162" t="n"/>
      <c r="AJ57" s="221" t="n"/>
      <c r="AK57" s="140" t="n"/>
      <c r="AL57" s="204">
        <f>COUNTIF(E61:AI61,22.5)</f>
        <v/>
      </c>
    </row>
    <row r="58" hidden="1" ht="12" customHeight="1" s="206">
      <c r="A58" s="218" t="n"/>
      <c r="B58" s="110" t="n"/>
      <c r="C58" s="230" t="n"/>
      <c r="D58" s="44" t="inlineStr">
        <is>
          <t>上班</t>
        </is>
      </c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3" t="n"/>
      <c r="S58" s="73" t="n"/>
      <c r="T58" s="73" t="n"/>
      <c r="U58" s="73" t="n"/>
      <c r="V58" s="73" t="n"/>
      <c r="W58" s="73" t="n"/>
      <c r="X58" s="73" t="n"/>
      <c r="Y58" s="73" t="n"/>
      <c r="Z58" s="73" t="n"/>
      <c r="AA58" s="73" t="n"/>
      <c r="AB58" s="73" t="n"/>
      <c r="AC58" s="73" t="n"/>
      <c r="AD58" s="73" t="n"/>
      <c r="AE58" s="73" t="n"/>
      <c r="AF58" s="73" t="n"/>
      <c r="AG58" s="73" t="n"/>
      <c r="AH58" s="73" t="n"/>
      <c r="AI58" s="73" t="n"/>
      <c r="AJ58" s="146" t="n"/>
      <c r="AK58" s="140" t="n"/>
    </row>
    <row r="59" hidden="1" ht="12" customHeight="1" s="206">
      <c r="A59" s="20" t="n">
        <v>18</v>
      </c>
      <c r="B59" s="226" t="n"/>
      <c r="C59" s="231" t="inlineStr">
        <is>
          <t>初级调茶师</t>
        </is>
      </c>
      <c r="D59" s="44" t="inlineStr">
        <is>
          <t>下班</t>
        </is>
      </c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3" t="n"/>
      <c r="AD59" s="73" t="n"/>
      <c r="AE59" s="73" t="n"/>
      <c r="AF59" s="73" t="n"/>
      <c r="AG59" s="73" t="n"/>
      <c r="AH59" s="73" t="n"/>
      <c r="AI59" s="73" t="n"/>
      <c r="AJ59" s="221" t="n"/>
      <c r="AK59" s="140" t="n"/>
      <c r="AL59" s="204">
        <f>COUNTIF(E63:AI63,22.5)</f>
        <v/>
      </c>
    </row>
    <row r="60" hidden="1" ht="12" customHeight="1" s="206">
      <c r="A60" s="218" t="n"/>
      <c r="B60" s="111" t="n"/>
      <c r="C60" s="230" t="n"/>
      <c r="D60" s="23" t="inlineStr">
        <is>
          <t>上班</t>
        </is>
      </c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146" t="n"/>
      <c r="AK60" s="140" t="n"/>
    </row>
    <row r="61" hidden="1" ht="12" customHeight="1" s="206">
      <c r="A61" s="20" t="n">
        <v>19</v>
      </c>
      <c r="B61" s="226" t="n"/>
      <c r="C61" s="231" t="inlineStr">
        <is>
          <t>初级调茶师</t>
        </is>
      </c>
      <c r="D61" s="23" t="inlineStr">
        <is>
          <t>下班</t>
        </is>
      </c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21" t="n"/>
      <c r="AK61" s="140" t="n"/>
      <c r="AL61" s="204">
        <f>COUNTIF(E65:AI65,22.5)</f>
        <v/>
      </c>
    </row>
    <row r="62" hidden="1" ht="12" customHeight="1" s="206">
      <c r="A62" s="218" t="n"/>
      <c r="B62" s="113" t="n"/>
      <c r="C62" s="230" t="n"/>
      <c r="D62" s="44" t="inlineStr">
        <is>
          <t>上班</t>
        </is>
      </c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3" t="n"/>
      <c r="S62" s="73" t="n"/>
      <c r="T62" s="73" t="n"/>
      <c r="U62" s="73" t="n"/>
      <c r="V62" s="73" t="n"/>
      <c r="W62" s="73" t="n"/>
      <c r="X62" s="73" t="n"/>
      <c r="Y62" s="73" t="n"/>
      <c r="Z62" s="73" t="n"/>
      <c r="AA62" s="73" t="n"/>
      <c r="AB62" s="73" t="n"/>
      <c r="AC62" s="73" t="n"/>
      <c r="AD62" s="73" t="n"/>
      <c r="AE62" s="73" t="n"/>
      <c r="AF62" s="73" t="n"/>
      <c r="AG62" s="73" t="n"/>
      <c r="AH62" s="73" t="n"/>
      <c r="AI62" s="73" t="n"/>
      <c r="AJ62" s="146" t="n"/>
      <c r="AK62" s="140" t="n"/>
    </row>
    <row r="63" hidden="1" ht="12" customHeight="1" s="206">
      <c r="A63" s="20" t="n">
        <v>20</v>
      </c>
      <c r="B63" s="226" t="n"/>
      <c r="C63" s="231" t="inlineStr">
        <is>
          <t>初级调茶师</t>
        </is>
      </c>
      <c r="D63" s="44" t="inlineStr">
        <is>
          <t>下班</t>
        </is>
      </c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3" t="n"/>
      <c r="AD63" s="73" t="n"/>
      <c r="AE63" s="73" t="n"/>
      <c r="AF63" s="73" t="n"/>
      <c r="AG63" s="73" t="n"/>
      <c r="AH63" s="73" t="n"/>
      <c r="AI63" s="73" t="n"/>
      <c r="AJ63" s="221" t="n"/>
      <c r="AK63" s="140" t="n"/>
      <c r="AL63" s="204">
        <f>COUNTIF(E67:AI67,22.5)</f>
        <v/>
      </c>
    </row>
    <row r="64" hidden="1" ht="12" customHeight="1" s="206">
      <c r="A64" s="218" t="n"/>
      <c r="B64" s="111" t="n"/>
      <c r="C64" s="230" t="n"/>
      <c r="D64" s="23" t="inlineStr">
        <is>
          <t>上班</t>
        </is>
      </c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146" t="n"/>
      <c r="AK64" s="140" t="n"/>
    </row>
    <row r="65" hidden="1" ht="12" customHeight="1" s="206">
      <c r="A65" s="20" t="n">
        <v>21</v>
      </c>
      <c r="B65" s="226" t="n"/>
      <c r="C65" s="232" t="inlineStr">
        <is>
          <t>全职</t>
        </is>
      </c>
      <c r="D65" s="23" t="inlineStr">
        <is>
          <t>下班</t>
        </is>
      </c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21" t="n"/>
      <c r="AK65" s="140" t="n"/>
      <c r="AL65" s="204">
        <f>COUNTIF(E69:AI69,22.5)</f>
        <v/>
      </c>
    </row>
    <row r="66" hidden="1" ht="12" customHeight="1" s="206">
      <c r="A66" s="218" t="n"/>
      <c r="B66" s="113" t="n"/>
      <c r="C66" s="230" t="n"/>
      <c r="D66" s="44" t="inlineStr">
        <is>
          <t>上班</t>
        </is>
      </c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3" t="n"/>
      <c r="S66" s="73" t="n"/>
      <c r="T66" s="73" t="n"/>
      <c r="U66" s="73" t="n"/>
      <c r="V66" s="73" t="n"/>
      <c r="W66" s="73" t="n"/>
      <c r="X66" s="73" t="n"/>
      <c r="Y66" s="73" t="n"/>
      <c r="Z66" s="73" t="n"/>
      <c r="AA66" s="73" t="n"/>
      <c r="AB66" s="73" t="n"/>
      <c r="AC66" s="73" t="n"/>
      <c r="AD66" s="73" t="n"/>
      <c r="AE66" s="73" t="n"/>
      <c r="AF66" s="73" t="n"/>
      <c r="AG66" s="73" t="n"/>
      <c r="AH66" s="73" t="n"/>
      <c r="AI66" s="163" t="n"/>
      <c r="AJ66" s="146" t="n"/>
      <c r="AK66" s="140" t="n"/>
    </row>
    <row r="67" hidden="1" ht="20.25" customHeight="1" s="206">
      <c r="A67" s="20" t="n">
        <v>22</v>
      </c>
      <c r="B67" s="226" t="n"/>
      <c r="C67" s="169" t="n"/>
      <c r="D67" s="44" t="inlineStr">
        <is>
          <t>下班</t>
        </is>
      </c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3" t="n"/>
      <c r="AD67" s="73" t="n"/>
      <c r="AE67" s="73" t="n"/>
      <c r="AF67" s="73" t="n"/>
      <c r="AG67" s="73" t="n"/>
      <c r="AH67" s="73" t="n"/>
      <c r="AI67" s="163" t="n"/>
      <c r="AJ67" s="221" t="n"/>
      <c r="AK67" s="140" t="n"/>
    </row>
    <row r="68" hidden="1" ht="20.25" customHeight="1" s="206">
      <c r="A68" s="218" t="n"/>
      <c r="B68" s="111" t="n"/>
      <c r="C68" s="170" t="n"/>
      <c r="D68" s="23" t="inlineStr">
        <is>
          <t>上班</t>
        </is>
      </c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146" t="n"/>
      <c r="AK68" s="140" t="n"/>
    </row>
    <row r="69" hidden="1" ht="20.25" customHeight="1" s="206">
      <c r="A69" s="20" t="n">
        <v>23</v>
      </c>
      <c r="B69" s="226" t="n"/>
      <c r="C69" s="171" t="n"/>
      <c r="D69" s="23" t="inlineStr">
        <is>
          <t>下班</t>
        </is>
      </c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21" t="n"/>
      <c r="AK69" s="140" t="n"/>
    </row>
    <row r="70" hidden="1" ht="20.25" customHeight="1" s="206">
      <c r="A70" s="218" t="n"/>
      <c r="B70" s="113" t="n"/>
      <c r="C70" s="172" t="n"/>
      <c r="D70" s="44" t="inlineStr">
        <is>
          <t>上班</t>
        </is>
      </c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3" t="n"/>
      <c r="S70" s="73" t="n"/>
      <c r="T70" s="73" t="n"/>
      <c r="U70" s="73" t="n"/>
      <c r="V70" s="73" t="n"/>
      <c r="W70" s="73" t="n"/>
      <c r="X70" s="73" t="n"/>
      <c r="Y70" s="73" t="n"/>
      <c r="Z70" s="73" t="n"/>
      <c r="AA70" s="73" t="n"/>
      <c r="AB70" s="73" t="n"/>
      <c r="AC70" s="73" t="n"/>
      <c r="AD70" s="73" t="n"/>
      <c r="AE70" s="73" t="n"/>
      <c r="AF70" s="73" t="n"/>
      <c r="AG70" s="73" t="n"/>
      <c r="AH70" s="73" t="n"/>
      <c r="AI70" s="73" t="n"/>
      <c r="AJ70" s="146" t="n"/>
      <c r="AK70" s="140" t="n"/>
    </row>
    <row r="71" hidden="1" ht="20.25" customHeight="1" s="206">
      <c r="A71" s="20" t="n">
        <v>24</v>
      </c>
      <c r="B71" s="226" t="n"/>
      <c r="C71" s="169" t="n"/>
      <c r="D71" s="44" t="inlineStr">
        <is>
          <t>下班</t>
        </is>
      </c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3" t="n"/>
      <c r="AD71" s="73" t="n"/>
      <c r="AE71" s="73" t="n"/>
      <c r="AF71" s="73" t="n"/>
      <c r="AG71" s="73" t="n"/>
      <c r="AH71" s="73" t="n"/>
      <c r="AI71" s="73" t="n"/>
      <c r="AJ71" s="221" t="n"/>
      <c r="AK71" s="140" t="n"/>
      <c r="AL71" s="3" t="n"/>
    </row>
    <row r="72" hidden="1" ht="20.25" customHeight="1" s="206">
      <c r="A72" s="218" t="n"/>
      <c r="B72" s="173" t="n"/>
      <c r="C72" s="174" t="n"/>
      <c r="D72" s="23" t="inlineStr">
        <is>
          <t>上班</t>
        </is>
      </c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146" t="n"/>
      <c r="AK72" s="140" t="n"/>
    </row>
    <row r="73" hidden="1" ht="20.25" customHeight="1" s="206">
      <c r="A73" s="20" t="n">
        <v>25</v>
      </c>
      <c r="B73" s="226" t="n"/>
      <c r="C73" s="171" t="n"/>
      <c r="D73" s="23" t="inlineStr">
        <is>
          <t>下班</t>
        </is>
      </c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21" t="n"/>
      <c r="AK73" s="140" t="n"/>
    </row>
    <row r="74" hidden="1" ht="20.25" customHeight="1" s="206">
      <c r="A74" s="218" t="n"/>
      <c r="B74" s="113" t="n"/>
      <c r="C74" s="172" t="n"/>
      <c r="D74" s="44" t="inlineStr">
        <is>
          <t>上班</t>
        </is>
      </c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3" t="n"/>
      <c r="S74" s="73" t="n"/>
      <c r="T74" s="73" t="n"/>
      <c r="U74" s="73" t="n"/>
      <c r="V74" s="73" t="n"/>
      <c r="W74" s="73" t="n"/>
      <c r="X74" s="73" t="n"/>
      <c r="Y74" s="73" t="n"/>
      <c r="Z74" s="73" t="n"/>
      <c r="AA74" s="73" t="n"/>
      <c r="AB74" s="73" t="n"/>
      <c r="AC74" s="73" t="n"/>
      <c r="AD74" s="73" t="n"/>
      <c r="AE74" s="73" t="n"/>
      <c r="AF74" s="73" t="n"/>
      <c r="AG74" s="73" t="n"/>
      <c r="AH74" s="73" t="n"/>
      <c r="AI74" s="73" t="n"/>
      <c r="AJ74" s="146" t="n"/>
      <c r="AK74" s="140" t="n"/>
    </row>
    <row r="75" hidden="1" ht="20.25" customHeight="1" s="206">
      <c r="A75" s="20" t="n">
        <v>26</v>
      </c>
      <c r="B75" s="226" t="n"/>
      <c r="C75" s="169" t="n"/>
      <c r="D75" s="44" t="inlineStr">
        <is>
          <t>下班</t>
        </is>
      </c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3" t="n"/>
      <c r="AD75" s="73" t="n"/>
      <c r="AE75" s="73" t="n"/>
      <c r="AF75" s="73" t="n"/>
      <c r="AG75" s="73" t="n"/>
      <c r="AH75" s="73" t="n"/>
      <c r="AI75" s="73" t="n"/>
      <c r="AJ75" s="221" t="n"/>
      <c r="AK75" s="140" t="n"/>
      <c r="AL75" s="3" t="n"/>
    </row>
    <row r="76" hidden="1" ht="20.25" customHeight="1" s="206">
      <c r="A76" s="218" t="n"/>
      <c r="B76" s="173" t="n"/>
      <c r="C76" s="174" t="n"/>
      <c r="D76" s="23" t="inlineStr">
        <is>
          <t>上班</t>
        </is>
      </c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146" t="n"/>
      <c r="AK76" s="140" t="n"/>
      <c r="AL76" s="3" t="n"/>
      <c r="AM76" s="3" t="n"/>
    </row>
    <row r="77" hidden="1" ht="20.25" customHeight="1" s="206">
      <c r="A77" s="20" t="n">
        <v>27</v>
      </c>
      <c r="B77" s="226" t="n"/>
      <c r="C77" s="171" t="n"/>
      <c r="D77" s="23" t="inlineStr">
        <is>
          <t>下班</t>
        </is>
      </c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21" t="n"/>
      <c r="AK77" s="140" t="n"/>
      <c r="AL77" s="3" t="n"/>
      <c r="AM77" s="3" t="n"/>
    </row>
    <row r="78" ht="30.95" customHeight="1" s="206">
      <c r="A78" s="218" t="n"/>
      <c r="B78" s="175" t="n"/>
      <c r="D78" s="233" t="n"/>
      <c r="E78" s="234" t="n"/>
      <c r="F78" s="234" t="n"/>
      <c r="G78" s="234" t="n"/>
      <c r="H78" s="234" t="n"/>
      <c r="I78" s="234" t="n"/>
      <c r="J78" s="234" t="n"/>
      <c r="K78" s="234" t="n"/>
      <c r="L78" s="234" t="n"/>
      <c r="M78" s="234" t="n"/>
      <c r="N78" s="234" t="n"/>
      <c r="O78" s="234" t="n"/>
      <c r="P78" s="234" t="n"/>
      <c r="Q78" s="234" t="n"/>
      <c r="R78" s="234" t="n"/>
      <c r="S78" s="234" t="n"/>
      <c r="T78" s="234" t="n"/>
      <c r="U78" s="234" t="n"/>
      <c r="V78" s="234" t="n"/>
      <c r="W78" s="234" t="n"/>
      <c r="X78" s="234" t="n"/>
      <c r="Y78" s="234" t="n"/>
      <c r="Z78" s="234" t="n"/>
      <c r="AA78" s="234" t="n"/>
      <c r="AB78" s="234" t="n"/>
      <c r="AC78" s="234" t="n"/>
      <c r="AD78" s="234" t="n"/>
      <c r="AE78" s="234" t="n"/>
      <c r="AF78" s="234" t="n"/>
      <c r="AG78" s="234" t="n"/>
      <c r="AH78" s="234" t="n"/>
      <c r="AI78" s="234" t="n"/>
      <c r="AJ78" s="195" t="n"/>
      <c r="AK78" s="140" t="n"/>
      <c r="AM78" s="235" t="n"/>
    </row>
    <row r="79" ht="12" customHeight="1" s="206">
      <c r="A79" s="178" t="n"/>
      <c r="B79" s="179" t="n"/>
      <c r="C79" s="179" t="n"/>
      <c r="D79" s="179" t="n"/>
      <c r="E79" s="180" t="n"/>
      <c r="F79" s="180" t="n"/>
      <c r="G79" s="180" t="n"/>
      <c r="H79" s="180" t="n"/>
      <c r="I79" s="180" t="n"/>
      <c r="J79" s="180" t="n"/>
      <c r="K79" s="180" t="n"/>
      <c r="L79" s="180" t="n"/>
      <c r="M79" s="180" t="n"/>
      <c r="N79" s="180" t="n"/>
      <c r="O79" s="180" t="n"/>
      <c r="P79" s="180" t="n"/>
      <c r="Q79" s="180" t="n"/>
      <c r="R79" s="180" t="n"/>
      <c r="S79" s="180" t="n"/>
      <c r="T79" s="180" t="n"/>
      <c r="U79" s="180" t="n"/>
      <c r="V79" s="180" t="n"/>
      <c r="W79" s="180" t="n"/>
      <c r="X79" s="180" t="n"/>
      <c r="Y79" s="180" t="n"/>
      <c r="Z79" s="180" t="n"/>
      <c r="AA79" s="180" t="n"/>
      <c r="AB79" s="180" t="n"/>
      <c r="AC79" s="180" t="n"/>
      <c r="AD79" s="180" t="n"/>
      <c r="AE79" s="180" t="n"/>
      <c r="AF79" s="180" t="n"/>
      <c r="AG79" s="180" t="n"/>
      <c r="AH79" s="180" t="n"/>
      <c r="AI79" s="180" t="n"/>
      <c r="AJ79" s="197" t="n"/>
      <c r="AK79" s="140" t="n"/>
    </row>
    <row r="80" ht="18.75" customHeight="1" s="206">
      <c r="A80" s="218" t="n"/>
      <c r="B80" s="220" t="n"/>
      <c r="C80" s="185" t="n"/>
      <c r="D80" s="185" t="n"/>
      <c r="E80" s="182" t="n"/>
      <c r="F80" s="183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5" t="n"/>
      <c r="W80" s="185" t="n"/>
      <c r="X80" s="185" t="n"/>
      <c r="Y80" s="185" t="n"/>
      <c r="Z80" s="185" t="n"/>
      <c r="AA80" s="185" t="n"/>
      <c r="AB80" s="194" t="n"/>
      <c r="AC80" s="185" t="n"/>
      <c r="AD80" s="185" t="n"/>
      <c r="AE80" s="185" t="n"/>
      <c r="AF80" s="185" t="n"/>
      <c r="AG80" s="198" t="n"/>
      <c r="AH80" s="185" t="n"/>
      <c r="AI80" s="185" t="n"/>
      <c r="AJ80" s="221" t="n"/>
      <c r="AK80" s="140" t="n"/>
    </row>
    <row r="81">
      <c r="A81" s="26" t="n"/>
      <c r="B81" s="185" t="n"/>
      <c r="C81" s="236" t="n"/>
      <c r="D81" s="237" t="n"/>
      <c r="E81" s="185" t="n"/>
      <c r="F81" s="185" t="n"/>
      <c r="G81" s="185" t="n"/>
      <c r="H81" s="185" t="n"/>
      <c r="I81" s="185" t="n"/>
      <c r="J81" s="185" t="n"/>
      <c r="K81" s="185" t="n"/>
      <c r="L81" s="185" t="n"/>
      <c r="M81" s="185" t="n"/>
      <c r="N81" s="185" t="n"/>
      <c r="O81" s="185" t="n"/>
      <c r="P81" s="185" t="n"/>
      <c r="Q81" s="185" t="n"/>
      <c r="R81" s="185" t="n"/>
      <c r="S81" s="185" t="n"/>
      <c r="T81" s="185" t="n"/>
      <c r="U81" s="185" t="n"/>
      <c r="V81" s="185" t="n"/>
      <c r="W81" s="185" t="n"/>
      <c r="X81" s="185" t="n"/>
      <c r="Y81" s="185" t="n"/>
      <c r="Z81" s="185" t="n"/>
      <c r="AA81" s="185" t="n"/>
      <c r="AB81" s="185" t="n"/>
      <c r="AC81" s="185" t="n"/>
      <c r="AD81" s="185" t="n"/>
      <c r="AE81" s="185" t="n"/>
      <c r="AF81" s="185" t="n"/>
      <c r="AG81" s="185" t="n"/>
      <c r="AH81" s="185" t="n"/>
      <c r="AI81" s="200" t="n"/>
      <c r="AJ81" s="199" t="n"/>
      <c r="AK81" s="140" t="n"/>
    </row>
    <row r="82">
      <c r="A82" s="218" t="n"/>
      <c r="B82" s="186" t="n"/>
      <c r="C82" s="236" t="n"/>
      <c r="D82" s="237" t="n"/>
      <c r="E82" s="185" t="n"/>
      <c r="F82" s="185" t="n"/>
      <c r="G82" s="185" t="n"/>
      <c r="H82" s="185" t="n"/>
      <c r="I82" s="185" t="n"/>
      <c r="J82" s="185" t="n"/>
      <c r="K82" s="185" t="n"/>
      <c r="L82" s="185" t="n"/>
      <c r="M82" s="185" t="n"/>
      <c r="N82" s="185" t="n"/>
      <c r="O82" s="185" t="n"/>
      <c r="P82" s="185" t="n"/>
      <c r="Q82" s="185" t="n"/>
      <c r="R82" s="185" t="n"/>
      <c r="S82" s="185" t="n"/>
      <c r="T82" s="190" t="n"/>
      <c r="U82" s="238" t="n"/>
      <c r="V82" s="238" t="n"/>
      <c r="W82" s="238" t="n"/>
      <c r="X82" s="238" t="n"/>
      <c r="Y82" s="238" t="n"/>
      <c r="Z82" s="238" t="n"/>
      <c r="AA82" s="238" t="n"/>
      <c r="AB82" s="238" t="n"/>
      <c r="AC82" s="238" t="n"/>
      <c r="AD82" s="238" t="n"/>
      <c r="AE82" s="238" t="n"/>
      <c r="AF82" s="238" t="n"/>
      <c r="AG82" s="238" t="n"/>
      <c r="AH82" s="238" t="n"/>
      <c r="AI82" s="239" t="n"/>
      <c r="AJ82" s="221" t="n"/>
      <c r="AK82" s="140" t="n"/>
    </row>
    <row r="83" ht="21" customHeight="1" s="206">
      <c r="A83" s="13" t="n"/>
      <c r="B83" s="187" t="n"/>
      <c r="C83" s="240" t="n"/>
      <c r="D83" s="241" t="n"/>
      <c r="E83" s="189" t="n"/>
      <c r="F83" s="240" t="n"/>
      <c r="G83" s="240" t="n"/>
      <c r="H83" s="240" t="n"/>
      <c r="I83" s="240" t="n"/>
      <c r="J83" s="240" t="n"/>
      <c r="K83" s="240" t="n"/>
      <c r="L83" s="240" t="n"/>
      <c r="M83" s="240" t="n"/>
      <c r="N83" s="240" t="n"/>
      <c r="O83" s="240" t="n"/>
      <c r="P83" s="240" t="n"/>
      <c r="Q83" s="240" t="n"/>
      <c r="R83" s="240" t="n"/>
      <c r="S83" s="241" t="n"/>
      <c r="T83" s="219" t="n"/>
      <c r="U83" s="242" t="n"/>
      <c r="V83" s="242" t="n"/>
      <c r="W83" s="242" t="n"/>
      <c r="X83" s="242" t="n"/>
      <c r="Y83" s="242" t="n"/>
      <c r="Z83" s="242" t="n"/>
      <c r="AA83" s="242" t="n"/>
      <c r="AB83" s="242" t="n"/>
      <c r="AC83" s="242" t="n"/>
      <c r="AD83" s="242" t="n"/>
      <c r="AE83" s="242" t="n"/>
      <c r="AF83" s="242" t="n"/>
      <c r="AG83" s="242" t="n"/>
      <c r="AH83" s="242" t="n"/>
      <c r="AI83" s="243" t="n"/>
      <c r="AJ83" s="203" t="n"/>
    </row>
  </sheetData>
  <mergeCells count="137">
    <mergeCell ref="AJ43:AJ44"/>
    <mergeCell ref="AJ58:AJ59"/>
    <mergeCell ref="C29:C30"/>
    <mergeCell ref="A51:A52"/>
    <mergeCell ref="A7:A8"/>
    <mergeCell ref="AJ27:AJ28"/>
    <mergeCell ref="C63:C64"/>
    <mergeCell ref="AJ72:AJ73"/>
    <mergeCell ref="B29:B30"/>
    <mergeCell ref="B23:B24"/>
    <mergeCell ref="A27:A28"/>
    <mergeCell ref="A71:A72"/>
    <mergeCell ref="B13:B14"/>
    <mergeCell ref="AJ13:AJ14"/>
    <mergeCell ref="B37:B38"/>
    <mergeCell ref="AJ15:AJ16"/>
    <mergeCell ref="B15:B16"/>
    <mergeCell ref="C57:C58"/>
    <mergeCell ref="B64:B65"/>
    <mergeCell ref="C27:C28"/>
    <mergeCell ref="AJ64:AJ65"/>
    <mergeCell ref="AJ79:AJ80"/>
    <mergeCell ref="A77:A78"/>
    <mergeCell ref="AJ45:AJ46"/>
    <mergeCell ref="A53:A54"/>
    <mergeCell ref="AJ47:AJ48"/>
    <mergeCell ref="B56:B57"/>
    <mergeCell ref="A59:A60"/>
    <mergeCell ref="B25:B26"/>
    <mergeCell ref="AJ56:AJ57"/>
    <mergeCell ref="B35:B36"/>
    <mergeCell ref="B27:B28"/>
    <mergeCell ref="A79:A80"/>
    <mergeCell ref="A61:A62"/>
    <mergeCell ref="B3:B4"/>
    <mergeCell ref="B17:B18"/>
    <mergeCell ref="AJ17:AJ18"/>
    <mergeCell ref="B11:B12"/>
    <mergeCell ref="B82:D82"/>
    <mergeCell ref="B58:B59"/>
    <mergeCell ref="AJ66:AJ67"/>
    <mergeCell ref="A65:A66"/>
    <mergeCell ref="AJ19:AJ20"/>
    <mergeCell ref="C65:C66"/>
    <mergeCell ref="B60:B61"/>
    <mergeCell ref="AJ3:AJ4"/>
    <mergeCell ref="AJ74:AJ75"/>
    <mergeCell ref="C31:C32"/>
    <mergeCell ref="B83:D83"/>
    <mergeCell ref="A21:A22"/>
    <mergeCell ref="B53:B54"/>
    <mergeCell ref="AJ5:AJ6"/>
    <mergeCell ref="A57:A58"/>
    <mergeCell ref="C51:C52"/>
    <mergeCell ref="A17:A18"/>
    <mergeCell ref="C17:C18"/>
    <mergeCell ref="AJ68:AJ69"/>
    <mergeCell ref="AJ60:AJ61"/>
    <mergeCell ref="A23:A24"/>
    <mergeCell ref="A63:A64"/>
    <mergeCell ref="A19:A20"/>
    <mergeCell ref="C19:C20"/>
    <mergeCell ref="B79:B80"/>
    <mergeCell ref="A9:A10"/>
    <mergeCell ref="C3:C4"/>
    <mergeCell ref="AJ29:AJ30"/>
    <mergeCell ref="B7:B8"/>
    <mergeCell ref="AJ21:AJ22"/>
    <mergeCell ref="A49:A50"/>
    <mergeCell ref="C49:C50"/>
    <mergeCell ref="A11:A12"/>
    <mergeCell ref="AJ31:AJ32"/>
    <mergeCell ref="B31:B32"/>
    <mergeCell ref="C5:C6"/>
    <mergeCell ref="AJ7:AJ8"/>
    <mergeCell ref="B78:D78"/>
    <mergeCell ref="AJ70:AJ71"/>
    <mergeCell ref="C59:C60"/>
    <mergeCell ref="AJ23:AJ24"/>
    <mergeCell ref="C21:C22"/>
    <mergeCell ref="B68:B69"/>
    <mergeCell ref="B9:B10"/>
    <mergeCell ref="B49:B50"/>
    <mergeCell ref="C23:C24"/>
    <mergeCell ref="A13:A14"/>
    <mergeCell ref="B33:B34"/>
    <mergeCell ref="C7:C8"/>
    <mergeCell ref="AJ33:AJ34"/>
    <mergeCell ref="C39:C40"/>
    <mergeCell ref="AJ35:AJ36"/>
    <mergeCell ref="AJ25:AJ26"/>
    <mergeCell ref="A31:A32"/>
    <mergeCell ref="B72:B73"/>
    <mergeCell ref="B21:B22"/>
    <mergeCell ref="A67:A68"/>
    <mergeCell ref="T82:AI83"/>
    <mergeCell ref="B62:B63"/>
    <mergeCell ref="B70:B71"/>
    <mergeCell ref="C33:C34"/>
    <mergeCell ref="A69:A70"/>
    <mergeCell ref="AJ11:AJ12"/>
    <mergeCell ref="C35:C36"/>
    <mergeCell ref="A75:A76"/>
    <mergeCell ref="B39:B40"/>
    <mergeCell ref="C9:C10"/>
    <mergeCell ref="AJ39:AJ40"/>
    <mergeCell ref="AJ62:AJ63"/>
    <mergeCell ref="A25:A26"/>
    <mergeCell ref="A3:A4"/>
    <mergeCell ref="C25:C26"/>
    <mergeCell ref="A55:A56"/>
    <mergeCell ref="C55:C56"/>
    <mergeCell ref="B1:B2"/>
    <mergeCell ref="C11:C12"/>
    <mergeCell ref="AJ37:AJ38"/>
    <mergeCell ref="B19:B20"/>
    <mergeCell ref="A5:A6"/>
    <mergeCell ref="C61:C62"/>
    <mergeCell ref="B74:B75"/>
    <mergeCell ref="A29:A30"/>
    <mergeCell ref="A81:A82"/>
    <mergeCell ref="B5:B6"/>
    <mergeCell ref="B81:D81"/>
    <mergeCell ref="B76:B77"/>
    <mergeCell ref="C13:C14"/>
    <mergeCell ref="C53:C54"/>
    <mergeCell ref="AJ76:AJ77"/>
    <mergeCell ref="B51:B52"/>
    <mergeCell ref="B66:B67"/>
    <mergeCell ref="AJ9:AJ10"/>
    <mergeCell ref="A15:A16"/>
    <mergeCell ref="C37:C38"/>
    <mergeCell ref="C15:C16"/>
    <mergeCell ref="A73:A74"/>
    <mergeCell ref="AJ41:AJ42"/>
    <mergeCell ref="AJ81:AJ82"/>
    <mergeCell ref="E83:S83"/>
  </mergeCells>
  <pageMargins left="0.75" right="0.75" top="1" bottom="1" header="0.511805555555556" footer="0.511805555555556"/>
  <pageSetup orientation="portrait" paperSize="9" horizontalDpi="203" verticalDpi="20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.25"/>
  <sheetData/>
  <pageMargins left="0.75" right="0.75" top="1" bottom="1" header="0.511805555555556" footer="0.511805555555556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.25"/>
  <sheetData/>
  <pageMargins left="0.75" right="0.75" top="1" bottom="1" header="0.511805555555556" footer="0.511805555555556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.2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2016-10-29T08:54:00Z</dcterms:created>
  <dcterms:modified xmlns:dcterms="http://purl.org/dc/terms/" xmlns:xsi="http://www.w3.org/2001/XMLSchema-instance" xsi:type="dcterms:W3CDTF">2026-08-19T07:08:13Z</dcterms:modified>
  <cp:lastModifiedBy>Shape帆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2052-11.1.0.12598</vt:lpwstr>
  </property>
  <property name="ICV" fmtid="{D5CDD505-2E9C-101B-9397-08002B2CF9AE}" pid="3">
    <vt:lpwstr xmlns:vt="http://schemas.openxmlformats.org/officeDocument/2006/docPropsVTypes">B057022F2FD448C9BFA3489A2FDB438E_13</vt:lpwstr>
  </property>
</Properties>
</file>